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.arango.a\Pictures\Ficha-CU\public\"/>
    </mc:Choice>
  </mc:AlternateContent>
  <xr:revisionPtr revIDLastSave="0" documentId="13_ncr:1_{7996D1AE-E7A8-4833-B189-5ABF5BC9FD4E}" xr6:coauthVersionLast="47" xr6:coauthVersionMax="47" xr10:uidLastSave="{00000000-0000-0000-0000-000000000000}"/>
  <bookViews>
    <workbookView xWindow="-120" yWindow="-120" windowWidth="29040" windowHeight="15720" activeTab="1" xr2:uid="{93656A9B-0821-4386-B069-729B9C25CA28}"/>
  </bookViews>
  <sheets>
    <sheet name="Metas Sede Bogota" sheetId="4" r:id="rId1"/>
    <sheet name="Hoja Pivote" sheetId="5" r:id="rId2"/>
  </sheets>
  <externalReferences>
    <externalReference r:id="rId3"/>
  </externalReferences>
  <definedNames>
    <definedName name="_xlnm._FilterDatabase" localSheetId="0" hidden="1">'Metas Sede Bogota'!$A$1:$M$70</definedName>
    <definedName name="chora">#REF!</definedName>
    <definedName name="competencia">#REF!</definedName>
    <definedName name="PERIODOS">[1]PARAMETROS!$A$2:$A$24</definedName>
    <definedName name="Tipo_contrato">[1]PARAMETROS!$B$2:$B$4</definedName>
  </definedNames>
  <calcPr calcId="191028"/>
  <pivotCaches>
    <pivotCache cacheId="1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4" i="4" l="1"/>
  <c r="K34" i="4"/>
  <c r="J34" i="4"/>
  <c r="I34" i="4"/>
  <c r="H34" i="4"/>
  <c r="G34" i="4"/>
  <c r="L33" i="4"/>
  <c r="K33" i="4"/>
  <c r="J33" i="4"/>
  <c r="I33" i="4"/>
  <c r="H33" i="4"/>
  <c r="G33" i="4"/>
  <c r="L32" i="4"/>
  <c r="K32" i="4"/>
  <c r="J32" i="4"/>
  <c r="I32" i="4"/>
  <c r="H32" i="4"/>
  <c r="G32" i="4"/>
  <c r="L31" i="4"/>
  <c r="K31" i="4"/>
  <c r="J31" i="4"/>
  <c r="I31" i="4"/>
  <c r="H31" i="4"/>
  <c r="G31" i="4"/>
  <c r="L30" i="4"/>
  <c r="K30" i="4"/>
  <c r="J30" i="4"/>
  <c r="I30" i="4"/>
  <c r="H30" i="4"/>
  <c r="G30" i="4"/>
  <c r="J29" i="4" l="1"/>
  <c r="H29" i="4"/>
  <c r="L29" i="4"/>
  <c r="K29" i="4"/>
  <c r="G29" i="4"/>
  <c r="I29" i="4"/>
</calcChain>
</file>

<file path=xl/sharedStrings.xml><?xml version="1.0" encoding="utf-8"?>
<sst xmlns="http://schemas.openxmlformats.org/spreadsheetml/2006/main" count="503" uniqueCount="132">
  <si>
    <t>Nivel</t>
  </si>
  <si>
    <t>Frente</t>
  </si>
  <si>
    <t>Metas</t>
  </si>
  <si>
    <t>Indicador</t>
  </si>
  <si>
    <t>Fórmula del Indicador</t>
  </si>
  <si>
    <t>Linea Base</t>
  </si>
  <si>
    <t>2025 </t>
  </si>
  <si>
    <t>2026 </t>
  </si>
  <si>
    <t>2027 </t>
  </si>
  <si>
    <t>2028 </t>
  </si>
  <si>
    <t>2029 </t>
  </si>
  <si>
    <t>2030 </t>
  </si>
  <si>
    <t>Nombre Corto</t>
  </si>
  <si>
    <t>Bogotá</t>
  </si>
  <si>
    <t>METAS FRENTE 1: IDENTIDAD MISIONAL Y CULTURA MINUTO DE DIOS</t>
  </si>
  <si>
    <r>
      <t>50% de profesores de planta (TC y MT) con contratos anualizados o indefinidos.</t>
    </r>
    <r>
      <rPr>
        <b/>
        <sz val="9"/>
        <color rgb="FF000000"/>
        <rFont val="Century Gothic"/>
        <family val="2"/>
      </rPr>
      <t xml:space="preserve"> Plan de mejoras Acreditación</t>
    </r>
  </si>
  <si>
    <t>Profesores de planta anualizados o indefinidos</t>
  </si>
  <si>
    <t>N° de profesores de planta (TC y MT) con contratos anualizados o indefinidos / N° de profesores de planta del periodo.</t>
  </si>
  <si>
    <t>Contratación Profesores</t>
  </si>
  <si>
    <r>
      <t xml:space="preserve">54% de profesores de planta en el escalafón. </t>
    </r>
    <r>
      <rPr>
        <b/>
        <sz val="9"/>
        <color rgb="FF000000"/>
        <rFont val="Century Gothic"/>
        <family val="2"/>
      </rPr>
      <t>Plan de mejoras Acreditación</t>
    </r>
  </si>
  <si>
    <t>Profesores de planta escalafonados</t>
  </si>
  <si>
    <t xml:space="preserve">(Numero de profesores de planta escalafonados / Numero de profesores de planta) * 100 </t>
  </si>
  <si>
    <t>Escalafón</t>
  </si>
  <si>
    <r>
      <t xml:space="preserve">10% de profesores con nivel de doctorado. </t>
    </r>
    <r>
      <rPr>
        <b/>
        <sz val="9"/>
        <color rgb="FF000000"/>
        <rFont val="Century Gothic"/>
        <family val="2"/>
      </rPr>
      <t>Plan de mejoras Acreditación</t>
    </r>
  </si>
  <si>
    <t>Profesores Doctorado</t>
  </si>
  <si>
    <t>METAS FRENTE 2: INNOVACIÓN ACADÉMICA, CALIDAD Y EXPERIENCIA VIBRANTE</t>
  </si>
  <si>
    <r>
      <t xml:space="preserve">Resultados obtenidos en las pruebas saber PRO referente a las competencias genéricas en </t>
    </r>
    <r>
      <rPr>
        <b/>
        <sz val="9"/>
        <color rgb="FF000000"/>
        <rFont val="Century Gothic"/>
        <family val="2"/>
      </rPr>
      <t>Presencial</t>
    </r>
    <r>
      <rPr>
        <sz val="9"/>
        <color rgb="FF000000"/>
        <rFont val="Century Gothic"/>
        <family val="2"/>
      </rPr>
      <t>: Estar en el nivel de significancia con respecto a la media nacional.</t>
    </r>
    <r>
      <rPr>
        <b/>
        <sz val="9"/>
        <color rgb="FF000000"/>
        <rFont val="Century Gothic"/>
        <family val="2"/>
      </rPr>
      <t xml:space="preserve"> Plan de mejoras Acreditación </t>
    </r>
  </si>
  <si>
    <t>Resultados Saber Pro Presencial</t>
  </si>
  <si>
    <t>Resultados obtenidos en las pruebas saber PRO referente a las competencias genéricas en Presencial</t>
  </si>
  <si>
    <t>Saber PRO Presencial</t>
  </si>
  <si>
    <t>Especial Minuto de Dios - Engativá</t>
  </si>
  <si>
    <r>
      <rPr>
        <sz val="9"/>
        <color rgb="FF000000"/>
        <rFont val="Century Gothic"/>
      </rPr>
      <t xml:space="preserve">Resultados obtenidos en las pruebas saber PRO referente a las competencias genéricas en </t>
    </r>
    <r>
      <rPr>
        <b/>
        <sz val="9"/>
        <color rgb="FF000000"/>
        <rFont val="Century Gothic"/>
      </rPr>
      <t>Presencial</t>
    </r>
    <r>
      <rPr>
        <sz val="9"/>
        <color rgb="FF000000"/>
        <rFont val="Century Gothic"/>
      </rPr>
      <t>: Estar en el nivel de significancia con respecto a la media nacional.</t>
    </r>
    <r>
      <rPr>
        <b/>
        <sz val="9"/>
        <color rgb="FF000000"/>
        <rFont val="Century Gothic"/>
      </rPr>
      <t xml:space="preserve"> Plan de mejoras Acreditación </t>
    </r>
  </si>
  <si>
    <t>Las Cruces - Santa Fe</t>
  </si>
  <si>
    <r>
      <t xml:space="preserve">Resultados obtenidos en las pruebas saber PRO referente a las competencias genéricas en </t>
    </r>
    <r>
      <rPr>
        <b/>
        <sz val="9"/>
        <color rgb="FF000000"/>
        <rFont val="Century Gothic"/>
        <family val="2"/>
      </rPr>
      <t>Distancia:</t>
    </r>
    <r>
      <rPr>
        <sz val="9"/>
        <color rgb="FF000000"/>
        <rFont val="Century Gothic"/>
        <family val="2"/>
      </rPr>
      <t xml:space="preserve"> Estar en el nivel de significancia (- 9 puntos) con respecto a la media nacional. </t>
    </r>
    <r>
      <rPr>
        <b/>
        <sz val="9"/>
        <color rgb="FF000000"/>
        <rFont val="Century Gothic"/>
        <family val="2"/>
      </rPr>
      <t>Plan de mejoras Acreditación</t>
    </r>
    <r>
      <rPr>
        <sz val="9"/>
        <color rgb="FF000000"/>
        <rFont val="Century Gothic"/>
        <family val="2"/>
      </rPr>
      <t xml:space="preserve"> </t>
    </r>
  </si>
  <si>
    <t>Resultados Saber Pro Distancia</t>
  </si>
  <si>
    <t>Resultados obtenidos en las pruebas saber PRO referente a las competencias genéricas en Distancia</t>
  </si>
  <si>
    <t>Saber PRO Distancia</t>
  </si>
  <si>
    <t>Perdomo - Ciudad Bolívar</t>
  </si>
  <si>
    <r>
      <rPr>
        <sz val="9"/>
        <color rgb="FF000000"/>
        <rFont val="Century Gothic"/>
        <family val="2"/>
      </rPr>
      <t xml:space="preserve">Resultados obtenidos en las pruebas saber PRO referente a las competencias genéricas en </t>
    </r>
    <r>
      <rPr>
        <b/>
        <sz val="9"/>
        <color rgb="FF000000"/>
        <rFont val="Century Gothic"/>
        <family val="2"/>
      </rPr>
      <t>Distancia:</t>
    </r>
    <r>
      <rPr>
        <sz val="9"/>
        <color rgb="FF000000"/>
        <rFont val="Century Gothic"/>
        <family val="2"/>
      </rPr>
      <t xml:space="preserve"> Estar en el nivel de significancia (- 9 puntos) con respecto a la media nacional. </t>
    </r>
    <r>
      <rPr>
        <b/>
        <sz val="9"/>
        <color rgb="FF000000"/>
        <rFont val="Century Gothic"/>
        <family val="2"/>
      </rPr>
      <t>Plan de mejoras Acreditación</t>
    </r>
    <r>
      <rPr>
        <sz val="9"/>
        <color rgb="FF000000"/>
        <rFont val="Century Gothic"/>
        <family val="2"/>
      </rPr>
      <t xml:space="preserve"> </t>
    </r>
  </si>
  <si>
    <r>
      <rPr>
        <sz val="9"/>
        <color rgb="FF000000"/>
        <rFont val="Century Gothic"/>
      </rPr>
      <t xml:space="preserve">Resultados obtenidos en las pruebas saber PRO referente a las competencias genéricas en </t>
    </r>
    <r>
      <rPr>
        <b/>
        <sz val="9"/>
        <color rgb="FF000000"/>
        <rFont val="Century Gothic"/>
      </rPr>
      <t>Distancia</t>
    </r>
    <r>
      <rPr>
        <sz val="9"/>
        <color rgb="FF000000"/>
        <rFont val="Century Gothic"/>
      </rPr>
      <t xml:space="preserve">: Estar en el nivel de significancia (- 9 puntos) con respecto a la media nacional. </t>
    </r>
    <r>
      <rPr>
        <b/>
        <sz val="9"/>
        <color rgb="FF000000"/>
        <rFont val="Century Gothic"/>
      </rPr>
      <t>Plan de mejoras Acreditación</t>
    </r>
    <r>
      <rPr>
        <sz val="9"/>
        <color rgb="FF000000"/>
        <rFont val="Century Gothic"/>
      </rPr>
      <t xml:space="preserve"> </t>
    </r>
  </si>
  <si>
    <t>Kennedy</t>
  </si>
  <si>
    <r>
      <rPr>
        <sz val="9"/>
        <color rgb="FF000000"/>
        <rFont val="Century Gothic"/>
        <family val="2"/>
      </rPr>
      <t xml:space="preserve">Resultados obtenidos en las pruebas saber PRO referente a las competencias genéricas en </t>
    </r>
    <r>
      <rPr>
        <b/>
        <sz val="9"/>
        <color rgb="FF000000"/>
        <rFont val="Century Gothic"/>
        <family val="2"/>
      </rPr>
      <t>Distancia</t>
    </r>
    <r>
      <rPr>
        <sz val="9"/>
        <color rgb="FF000000"/>
        <rFont val="Century Gothic"/>
        <family val="2"/>
      </rPr>
      <t xml:space="preserve">: Estar en el nivel de significancia (- 9 puntos) con respecto a la media nacional. </t>
    </r>
    <r>
      <rPr>
        <b/>
        <sz val="9"/>
        <color rgb="FF000000"/>
        <rFont val="Century Gothic"/>
        <family val="2"/>
      </rPr>
      <t>Plan de mejoras Acreditación</t>
    </r>
    <r>
      <rPr>
        <sz val="9"/>
        <color rgb="FF000000"/>
        <rFont val="Century Gothic"/>
        <family val="2"/>
      </rPr>
      <t xml:space="preserve"> </t>
    </r>
  </si>
  <si>
    <t>San Cristóbal Norte - Usaquén</t>
  </si>
  <si>
    <t>METAS FRENTE 3: INVESTIGACIÓN, INNOVACIÓN E IMPACTO SOCIAL</t>
  </si>
  <si>
    <t>16% de autores con indice H de google Scholar igual o mayor a 5</t>
  </si>
  <si>
    <t>Indice H de los investigadores</t>
  </si>
  <si>
    <t>(Numero de autores con indice H de google Scholar igual o mayor a 5 / Numero de autores)* 100</t>
  </si>
  <si>
    <t>Índice H</t>
  </si>
  <si>
    <r>
      <rPr>
        <sz val="9"/>
        <color rgb="FF000000"/>
        <rFont val="Century Gothic"/>
        <family val="2"/>
      </rPr>
      <t xml:space="preserve">En el 2030 se contará con 8 grupos de investigación en la categoría A1 y A de Minciencias. </t>
    </r>
    <r>
      <rPr>
        <b/>
        <sz val="9"/>
        <color rgb="FF000000"/>
        <rFont val="Century Gothic"/>
        <family val="2"/>
      </rPr>
      <t>Plan de mejoras Acreditación.</t>
    </r>
    <r>
      <rPr>
        <sz val="9"/>
        <color rgb="FF000000"/>
        <rFont val="Century Gothic"/>
        <family val="2"/>
      </rPr>
      <t xml:space="preserve"> </t>
    </r>
  </si>
  <si>
    <r>
      <rPr>
        <sz val="9"/>
        <color rgb="FF000000"/>
        <rFont val="Century Gothic"/>
        <family val="2"/>
      </rPr>
      <t>Grupos de investigación en la categoría A1 y A de Minciencias</t>
    </r>
    <r>
      <rPr>
        <b/>
        <sz val="9"/>
        <color rgb="FF000000"/>
        <rFont val="Century Gothic"/>
        <family val="2"/>
      </rPr>
      <t>.</t>
    </r>
    <r>
      <rPr>
        <sz val="9"/>
        <color rgb="FF000000"/>
        <rFont val="Century Gothic"/>
        <family val="2"/>
      </rPr>
      <t xml:space="preserve"> </t>
    </r>
  </si>
  <si>
    <t>(Numero de grupos de investigación en la categoría A1 y A de Minciencias / Numero de grupos de investigación)* 100</t>
  </si>
  <si>
    <t>Grupos de Investigación</t>
  </si>
  <si>
    <t>METAS FRENTE 4: CENTROS UNIVERSITARIOS Y DESARROLLO ORGANIZACIONAL</t>
  </si>
  <si>
    <t>Promover el crecimiento, desarrollo y fortalecimiento de los Centros Universitarios que impacte en la mejora de su tipología, así: 1 en A, 4 en B, sostenibles financieramente.</t>
  </si>
  <si>
    <t>A=1
B=2
C=5
D=1</t>
  </si>
  <si>
    <t>A=1
B=2
C=5
D=1
E=2</t>
  </si>
  <si>
    <t>A=2
B=2
C=4
D=1
E=2</t>
  </si>
  <si>
    <t>A=2
B=4
C=3
D=2</t>
  </si>
  <si>
    <t>A=2
B=6
C=1
D=2</t>
  </si>
  <si>
    <t>Tipología Centro Universitario</t>
  </si>
  <si>
    <t>Promover el crecimiento, desarrollo y fortalecimiento del Centro Universitario en su tipologia</t>
  </si>
  <si>
    <t xml:space="preserve">Tipología y sostenibilidad mejorada de Centros Universitarios </t>
  </si>
  <si>
    <t xml:space="preserve">(N° de centros universitarios con mejoras en su tipología y sostenibilidad / N° total de centros universitarios) * 100 </t>
  </si>
  <si>
    <t>C </t>
  </si>
  <si>
    <t>B </t>
  </si>
  <si>
    <t>A </t>
  </si>
  <si>
    <r>
      <rPr>
        <sz val="9"/>
        <color rgb="FF000000"/>
        <rFont val="Century Gothic"/>
      </rPr>
      <t xml:space="preserve">60% programas acreditados, de los que son acreditables en Alta Calidad por el CNA  </t>
    </r>
    <r>
      <rPr>
        <b/>
        <sz val="9"/>
        <color rgb="FF000000"/>
        <rFont val="Century Gothic"/>
      </rPr>
      <t>Plan de mejoras Acreditación</t>
    </r>
  </si>
  <si>
    <t>20/23</t>
  </si>
  <si>
    <t>20/31</t>
  </si>
  <si>
    <t>20/35</t>
  </si>
  <si>
    <t>21/39</t>
  </si>
  <si>
    <t>26/40</t>
  </si>
  <si>
    <t>28/44</t>
  </si>
  <si>
    <t>29/48</t>
  </si>
  <si>
    <t>Programas Acreditados por el CNA</t>
  </si>
  <si>
    <t>METAS FRENTE 7: MERCADEO, CAPTACIÓN Y EXPERIENCIA</t>
  </si>
  <si>
    <t>68% de tasa de conversión de admitidos a matriculados </t>
  </si>
  <si>
    <t>Tasa de conversión de admitidos a matriculados </t>
  </si>
  <si>
    <t>(Numero de estudiantes nuevos / Numero de admitidos) * 100</t>
  </si>
  <si>
    <t>Tasa de Conversión</t>
  </si>
  <si>
    <t xml:space="preserve">50% de los estudiantes han cursado un programa de educación continua ofertado por UNIMINUTO  </t>
  </si>
  <si>
    <t xml:space="preserve">Estudiantes cursado un programa de educación continua ofertado por UNIMINUTO  </t>
  </si>
  <si>
    <t>Numero de estudiantes cursado un programa de educación continua ofertado por UNIMINUTO</t>
  </si>
  <si>
    <t>Educación Continua</t>
  </si>
  <si>
    <r>
      <t xml:space="preserve">Deserción por periodo - plan de mejoras.  
Presencial: mantener deserción en maximo el 9,9%.  
</t>
    </r>
    <r>
      <rPr>
        <b/>
        <sz val="9"/>
        <color rgb="FF000000"/>
        <rFont val="Century Gothic"/>
        <family val="2"/>
      </rPr>
      <t xml:space="preserve">Plan de mejoras Acreditación </t>
    </r>
  </si>
  <si>
    <t>Desercion por periodo</t>
  </si>
  <si>
    <t>Tasa de desercion</t>
  </si>
  <si>
    <t>Deserción Presencial</t>
  </si>
  <si>
    <r>
      <rPr>
        <sz val="9"/>
        <color rgb="FF000000"/>
        <rFont val="Century Gothic"/>
        <family val="2"/>
      </rPr>
      <t xml:space="preserve">Deserción por periodo - plan de mejoras.  
Presencial: mantener deserción en maximo el 9,9%.  
</t>
    </r>
    <r>
      <rPr>
        <b/>
        <sz val="9"/>
        <color rgb="FF000000"/>
        <rFont val="Century Gothic"/>
        <family val="2"/>
      </rPr>
      <t xml:space="preserve">Plan de mejoras Acreditación </t>
    </r>
  </si>
  <si>
    <r>
      <rPr>
        <sz val="9"/>
        <color rgb="FF000000"/>
        <rFont val="Century Gothic"/>
      </rPr>
      <t xml:space="preserve">Deserción por periodo - plan de mejoras.  
Presencial: mantener deserción en maximo el 9,9%.  
</t>
    </r>
    <r>
      <rPr>
        <b/>
        <sz val="9"/>
        <color rgb="FF000000"/>
        <rFont val="Century Gothic"/>
      </rPr>
      <t xml:space="preserve">Plan de mejoras Acreditación </t>
    </r>
  </si>
  <si>
    <r>
      <t xml:space="preserve">Deserción por periodo - plan de mejoras.   
Distancia: Llegar a una deserción al 2030 del 11%. 
</t>
    </r>
    <r>
      <rPr>
        <b/>
        <sz val="9"/>
        <color rgb="FF000000"/>
        <rFont val="Century Gothic"/>
        <family val="2"/>
      </rPr>
      <t xml:space="preserve">Plan de mejoras Acreditación </t>
    </r>
  </si>
  <si>
    <t>Deserción Distancia</t>
  </si>
  <si>
    <r>
      <rPr>
        <sz val="9"/>
        <color rgb="FF000000"/>
        <rFont val="Century Gothic"/>
      </rPr>
      <t xml:space="preserve">Deserción por periodo - plan de mejoras.   
Distancia: Llegar a una deserción al 2030 del 11%. 
</t>
    </r>
    <r>
      <rPr>
        <b/>
        <sz val="9"/>
        <color rgb="FF000000"/>
        <rFont val="Century Gothic"/>
      </rPr>
      <t xml:space="preserve">Plan de mejoras Acreditación </t>
    </r>
  </si>
  <si>
    <t>Alcanzará en el año 2030 una población total de estudiantes de pregrado y posgrado (nuevos y continuos) de 30.000 estudiantes.</t>
  </si>
  <si>
    <t>Poblacion total</t>
  </si>
  <si>
    <t>Numero de estudiantes matriculados</t>
  </si>
  <si>
    <t>Estudiantes Centro Universitario</t>
  </si>
  <si>
    <t>El Centro Universitario alcanzará en el año 2030 una población total de estudiantes de pregrado y posgrado (nuevos y continuos) de 6.300 estudiantes.</t>
  </si>
  <si>
    <t>El Centro Universitario alcanzará en el año 2030 una población total de estudiantes de pregrado y posgrado (nuevos y continuos) de 18.500 estudiantes.</t>
  </si>
  <si>
    <t>El Centro Universitario alcanzará en el año 2030 una población total de estudiantes de pregrado y posgrado (nuevos y continuos) de 1.300 estudiantes.</t>
  </si>
  <si>
    <t>El Centro Universitario alcanzará en el año 2030 una población total de estudiantes de pregrado y posgrado (nuevos y continuos) de 2.300 estudiantes.</t>
  </si>
  <si>
    <t>El Centro Universitario alcanzará en el año 2030 una población total de estudiantes de pregrado y posgrado (nuevos y continuos) de 880 estudiantes.</t>
  </si>
  <si>
    <t>Aumentar en 85.000 estudiantes nuevos del año 2024 al año 2030, resultado de la diversificación de la oferta educativa proyectada </t>
  </si>
  <si>
    <t>Estudiantes nuevos</t>
  </si>
  <si>
    <t>N° de estudiantes nuevos</t>
  </si>
  <si>
    <t>Matrícula Nuevos</t>
  </si>
  <si>
    <t>Aumentar en 16.000 estudiantes nuevos del año 2024 al año 2030, resultado de la diversificación de la oferta educativa proyectada </t>
  </si>
  <si>
    <t>Aumentar en 51.000 estudiantes nuevos del año 2024 al año 2030, resultado de la diversificación de la oferta educativa proyectada </t>
  </si>
  <si>
    <t>Aumentar en 4.900 estudiantes nuevos del año 2024 al año 2030, resultado de la diversificación de la oferta educativa proyectada </t>
  </si>
  <si>
    <t>Aumentar en 8.300 estudiantes nuevos del año 2024 al año 2030, resultado de la diversificación de la oferta educativa proyectada </t>
  </si>
  <si>
    <t>Aumentar en 5.200 estudiantes nuevos del año 2024 al año 2030, resultado de la diversificación de la oferta educativa proyectada </t>
  </si>
  <si>
    <t>METAS FRENTE 8: SOSTENIBILIDAD Y ECOLOGÍA INTEGRAL</t>
  </si>
  <si>
    <t>Generar un margen EBITDA al menos del 20% a 2030 garantizando la sostenibilidad financiera y promoviendo la optimización de los recursos. BCB</t>
  </si>
  <si>
    <t>EBITDA</t>
  </si>
  <si>
    <t>Impulsar la diversificación de ingresos de la Sede alcanzando un 10% provenientes de fuentes distinta a matrícula (proyectos, educación continua, donaciones, diplomados como opción de grado e intersemestrales).</t>
  </si>
  <si>
    <t>5% </t>
  </si>
  <si>
    <t>6% </t>
  </si>
  <si>
    <t>7% </t>
  </si>
  <si>
    <t>8% </t>
  </si>
  <si>
    <t>9% </t>
  </si>
  <si>
    <t>10% </t>
  </si>
  <si>
    <t>Diversificación de Ingresos</t>
  </si>
  <si>
    <t>Impulsar la diversificación de ingresos alcanzando un 10% provenientes de fuentes distinta a matrícula (proyectos, educación continua, donaciones, diplomados como opción de grado e intersemestrales).</t>
  </si>
  <si>
    <t>Etiquetas de fila</t>
  </si>
  <si>
    <t>Total general</t>
  </si>
  <si>
    <t>Suma de 2025 </t>
  </si>
  <si>
    <t>Suma de Linea Base</t>
  </si>
  <si>
    <t>Suma de 2027 </t>
  </si>
  <si>
    <t>Suma de 2026 </t>
  </si>
  <si>
    <t>Suma de 2028 </t>
  </si>
  <si>
    <t>Suma de 2029 </t>
  </si>
  <si>
    <t>Suma de 2030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</si>
</sst>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b/>
      <sz val="9"/>
      <color rgb="FF000000"/>
      <name val="Century Gothic"/>
      <family val="2"/>
    </font>
    <font>
      <sz val="9"/>
      <color rgb="FF000000"/>
      <name val="Century Gothic"/>
      <family val="2"/>
    </font>
    <font>
      <sz val="10"/>
      <color rgb="FF000000"/>
      <name val="Aptos"/>
      <family val="2"/>
    </font>
    <font>
      <sz val="9"/>
      <color rgb="FF000000"/>
      <name val="Century Gothic"/>
    </font>
    <font>
      <b/>
      <sz val="9"/>
      <color rgb="FF000000"/>
      <name val="Century Gothic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9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9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10" fontId="7" fillId="0" borderId="2" xfId="0" applyNumberFormat="1" applyFont="1" applyBorder="1" applyAlignment="1">
      <alignment horizontal="center" vertical="center" wrapText="1"/>
    </xf>
    <xf numFmtId="3" fontId="7" fillId="0" borderId="2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9" fontId="3" fillId="0" borderId="2" xfId="0" applyNumberFormat="1" applyFont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3" fontId="7" fillId="0" borderId="3" xfId="0" applyNumberFormat="1" applyFont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3" fontId="8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42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entury Gothic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</dxfs>
  <tableStyles count="1" defaultTableStyle="TableStyleMedium2" defaultPivotStyle="PivotStyleLight16">
    <tableStyle name="Invisible" pivot="0" table="0" count="0" xr9:uid="{6038893A-BF7C-4007-9EAF-F7B1E0F5FED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niminuto0-my.sharepoint.com/Users/uniminuto/Desktop/SINE%20Administrativo%20v4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CIO"/>
      <sheetName val="PROFESORES"/>
      <sheetName val="Hoja1"/>
      <sheetName val="BASE PRO"/>
      <sheetName val="ADMON Y PROY"/>
      <sheetName val="BASE ADM y PROY"/>
      <sheetName val="RESUMEN"/>
      <sheetName val="PARAMETROS"/>
      <sheetName val="Revisar_niv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 DANIEL ARANGO ALGARRA" refreshedDate="46274.527280208335" createdVersion="8" refreshedVersion="8" minRefreshableVersion="3" recordCount="69" xr:uid="{5DF3C566-F110-438D-83AB-596CC830AA41}">
  <cacheSource type="worksheet">
    <worksheetSource name="Tabla1"/>
  </cacheSource>
  <cacheFields count="13">
    <cacheField name="Nivel" numFmtId="0">
      <sharedItems count="6">
        <s v="Bogotá"/>
        <s v="Especial Minuto de Dios - Engativá"/>
        <s v="Las Cruces - Santa Fe"/>
        <s v="Perdomo - Ciudad Bolívar"/>
        <s v="Kennedy"/>
        <s v="San Cristóbal Norte - Usaquén"/>
      </sharedItems>
    </cacheField>
    <cacheField name="Frente" numFmtId="0">
      <sharedItems/>
    </cacheField>
    <cacheField name="Metas" numFmtId="0">
      <sharedItems/>
    </cacheField>
    <cacheField name="Indicador" numFmtId="0">
      <sharedItems containsBlank="1" count="13">
        <s v="Profesores de planta anualizados o indefinidos"/>
        <s v="Profesores de planta escalafonados"/>
        <m/>
        <s v="Resultados Saber Pro Presencial"/>
        <s v="Resultados Saber Pro Distancia"/>
        <s v="Indice H de los investigadores"/>
        <s v="Grupos de investigación en la categoría A1 y A de Minciencias. "/>
        <s v="Tipología y sostenibilidad mejorada de Centros Universitarios "/>
        <s v="Tasa de conversión de admitidos a matriculados "/>
        <s v="Estudiantes cursado un programa de educación continua ofertado por UNIMINUTO  "/>
        <s v="Desercion por periodo"/>
        <s v="Poblacion total"/>
        <s v="Estudiantes nuevos"/>
      </sharedItems>
    </cacheField>
    <cacheField name="Fórmula del Indicador" numFmtId="0">
      <sharedItems containsBlank="1"/>
    </cacheField>
    <cacheField name="Linea Base" numFmtId="0">
      <sharedItems containsMixedTypes="1" containsNumber="1" minValue="0" maxValue="23216"/>
    </cacheField>
    <cacheField name="2025 " numFmtId="0">
      <sharedItems containsMixedTypes="1" containsNumber="1" minValue="0" maxValue="24187" count="46">
        <n v="0.5"/>
        <n v="0.54"/>
        <n v="0.08"/>
        <n v="145"/>
        <n v="139"/>
        <n v="134"/>
        <n v="133"/>
        <n v="135"/>
        <n v="131"/>
        <n v="0.14000000000000001"/>
        <n v="5"/>
        <s v="A=1_x000a_B=2_x000a_C=5_x000a_D=1"/>
        <s v="C "/>
        <s v="A "/>
        <s v="20/31"/>
        <n v="0.57999999999999996"/>
        <n v="1209.3499999999999"/>
        <n v="111.35000000000001"/>
        <n v="912.2"/>
        <n v="65.350000000000009"/>
        <n v="89.850000000000009"/>
        <n v="30.6"/>
        <n v="0.09"/>
        <n v="0"/>
        <n v="0.12"/>
        <n v="0.11"/>
        <n v="0.1191"/>
        <n v="24187"/>
        <n v="2227"/>
        <n v="18244"/>
        <n v="1307"/>
        <n v="1797"/>
        <n v="612"/>
        <n v="12695"/>
        <n v="2005"/>
        <n v="7700"/>
        <n v="780"/>
        <n v="1325"/>
        <n v="885"/>
        <n v="0.188"/>
        <n v="0.23200000000000001"/>
        <n v="0.17"/>
        <n v="0.159"/>
        <n v="1.4E-2"/>
        <n v="0.114"/>
        <s v="5% "/>
      </sharedItems>
    </cacheField>
    <cacheField name="2026 " numFmtId="0">
      <sharedItems containsMixedTypes="1" containsNumber="1" minValue="0" maxValue="26262" count="46">
        <n v="0.5"/>
        <n v="0.54"/>
        <n v="0.08"/>
        <n v="146"/>
        <n v="140"/>
        <n v="135"/>
        <n v="134"/>
        <n v="136"/>
        <n v="132"/>
        <n v="0.14000000000000001"/>
        <n v="6"/>
        <s v="A=1_x000a_B=2_x000a_C=5_x000a_D=1_x000a_E=2"/>
        <s v="C "/>
        <s v="A "/>
        <s v="20/35"/>
        <n v="0.6"/>
        <n v="2626.2000000000003"/>
        <n v="400.70000000000005"/>
        <n v="1897.7"/>
        <n v="131.20000000000002"/>
        <n v="165.8"/>
        <n v="30.8"/>
        <n v="0.09"/>
        <n v="0"/>
        <n v="0.12"/>
        <n v="0.11"/>
        <n v="0.1191"/>
        <n v="26262"/>
        <n v="4007"/>
        <n v="18977"/>
        <n v="1312"/>
        <n v="1658"/>
        <n v="308"/>
        <n v="16015"/>
        <n v="3015"/>
        <n v="8195"/>
        <n v="990"/>
        <n v="1960"/>
        <n v="1855"/>
        <n v="0.16144"/>
        <n v="0.23300000000000001"/>
        <n v="0.155"/>
        <n v="0.17799999999999999"/>
        <n v="7.9000000000000001E-2"/>
        <n v="0.127"/>
        <s v="6% "/>
      </sharedItems>
    </cacheField>
    <cacheField name="2027 " numFmtId="0">
      <sharedItems containsMixedTypes="1" containsNumber="1" minValue="0.08" maxValue="25546" count="44">
        <n v="0.5"/>
        <n v="0.54"/>
        <n v="0.09"/>
        <n v="147"/>
        <n v="141"/>
        <n v="135"/>
        <n v="134"/>
        <n v="136"/>
        <n v="132"/>
        <n v="0.15"/>
        <n v="6"/>
        <s v="A=1_x000a_B=2_x000a_C=5_x000a_D=1_x000a_E=2"/>
        <s v="C "/>
        <s v="A "/>
        <s v="21/39"/>
        <n v="0.62"/>
        <n v="5109.2"/>
        <n v="1031.4000000000001"/>
        <n v="3508.6000000000004"/>
        <n v="246"/>
        <n v="201.8"/>
        <n v="121.4"/>
        <n v="0.08"/>
        <n v="0.1"/>
        <n v="0.11"/>
        <n v="25546"/>
        <n v="5157"/>
        <n v="17543"/>
        <n v="1230"/>
        <n v="1009"/>
        <n v="607"/>
        <n v="11578"/>
        <n v="2405"/>
        <n v="6768"/>
        <n v="695"/>
        <n v="1115"/>
        <n v="595"/>
        <n v="0.1804"/>
        <n v="0.26"/>
        <n v="0.19700000000000001"/>
        <n v="0.19400000000000001"/>
        <n v="0.113"/>
        <n v="0.13300000000000001"/>
        <s v="7% "/>
      </sharedItems>
    </cacheField>
    <cacheField name="2028 " numFmtId="0">
      <sharedItems containsMixedTypes="1" containsNumber="1" minValue="0.08" maxValue="28431" count="45">
        <n v="0.5"/>
        <n v="0.54"/>
        <n v="0.09"/>
        <n v="148"/>
        <n v="142"/>
        <n v="136"/>
        <n v="135"/>
        <n v="137"/>
        <n v="133"/>
        <n v="0.15"/>
        <n v="7"/>
        <s v="A=2_x000a_B=2_x000a_C=4_x000a_D=1_x000a_E=2"/>
        <s v="B "/>
        <s v="A "/>
        <s v="C "/>
        <s v="26/40"/>
        <n v="0.64"/>
        <n v="8529.2999999999993"/>
        <n v="1772.3999999999999"/>
        <n v="5405.0999999999995"/>
        <n v="490.79999999999995"/>
        <n v="481.79999999999995"/>
        <n v="379.2"/>
        <n v="0.08"/>
        <n v="0.1"/>
        <n v="0.11"/>
        <n v="28431"/>
        <n v="5908"/>
        <n v="18017"/>
        <n v="1636"/>
        <n v="1606"/>
        <n v="1264"/>
        <n v="11810"/>
        <n v="2470"/>
        <n v="6860"/>
        <n v="695"/>
        <n v="1190"/>
        <n v="595"/>
        <n v="0.1867"/>
        <n v="0.28699999999999998"/>
        <n v="0.222"/>
        <n v="0.218"/>
        <n v="0.14699999999999999"/>
        <n v="0.13400000000000001"/>
        <s v="8% "/>
      </sharedItems>
    </cacheField>
    <cacheField name="2029 " numFmtId="0">
      <sharedItems containsMixedTypes="1" containsNumber="1" minValue="0.08" maxValue="30774" count="45">
        <n v="0.5"/>
        <n v="0.54"/>
        <n v="0.1"/>
        <n v="149"/>
        <n v="142"/>
        <n v="136"/>
        <n v="135"/>
        <n v="137"/>
        <n v="133"/>
        <n v="0.16"/>
        <n v="7"/>
        <s v="A=2_x000a_B=4_x000a_C=3_x000a_D=2"/>
        <s v="B "/>
        <s v="A "/>
        <s v="C "/>
        <s v="28/44"/>
        <n v="0.66"/>
        <n v="12309.6"/>
        <n v="2571.6000000000004"/>
        <n v="7427.2000000000007"/>
        <n v="760.80000000000007"/>
        <n v="832.40000000000009"/>
        <n v="717.6"/>
        <n v="0.08"/>
        <n v="0.09"/>
        <n v="0.11"/>
        <n v="30774"/>
        <n v="6429"/>
        <n v="18568"/>
        <n v="1902"/>
        <n v="2081"/>
        <n v="1794"/>
        <n v="12326"/>
        <n v="2480"/>
        <n v="7281"/>
        <n v="705"/>
        <n v="1265"/>
        <n v="595"/>
        <n v="0.2135"/>
        <n v="0.314"/>
        <n v="0.23799999999999999"/>
        <n v="0.24199999999999999"/>
        <n v="0.17"/>
        <n v="0.16200000000000001"/>
        <s v="9% "/>
      </sharedItems>
    </cacheField>
    <cacheField name="2030 " numFmtId="0">
      <sharedItems containsMixedTypes="1" containsNumber="1" minValue="0.08" maxValue="32750" count="43">
        <n v="0.5"/>
        <n v="0.54"/>
        <n v="0.1"/>
        <n v="150"/>
        <n v="143"/>
        <n v="137"/>
        <n v="136"/>
        <n v="138"/>
        <n v="134"/>
        <n v="0.16"/>
        <n v="8"/>
        <s v="A=2_x000a_B=6_x000a_C=1_x000a_D=2"/>
        <s v="B "/>
        <s v="A "/>
        <s v="29/48"/>
        <n v="0.68"/>
        <n v="16375"/>
        <n v="3351"/>
        <n v="9645.5"/>
        <n v="1071.5"/>
        <n v="1230"/>
        <n v="1077"/>
        <n v="0.08"/>
        <n v="0.11"/>
        <n v="32750"/>
        <n v="6702"/>
        <n v="19291"/>
        <n v="2143"/>
        <n v="2460"/>
        <n v="2154"/>
        <n v="12696"/>
        <n v="2480"/>
        <n v="7641"/>
        <n v="715"/>
        <n v="1265"/>
        <n v="595"/>
        <n v="0.2223"/>
        <n v="0.34100000000000003"/>
        <n v="0.25"/>
        <n v="0.16600000000000001"/>
        <n v="0.192"/>
        <n v="0.20499999999999999"/>
        <s v="10% "/>
      </sharedItems>
    </cacheField>
    <cacheField name="Nombre Corto" numFmtId="0">
      <sharedItems count="17">
        <s v="Contratación Profesores"/>
        <s v="Escalafón"/>
        <s v="Profesores Doctorado"/>
        <s v="Saber PRO Presencial"/>
        <s v="Saber PRO Distancia"/>
        <s v="Índice H"/>
        <s v="Grupos de Investigación"/>
        <s v="Tipología Centro Universitario"/>
        <s v="Programas Acreditados por el CNA"/>
        <s v="Tasa de Conversión"/>
        <s v="Educación Continua"/>
        <s v="Deserción Presencial"/>
        <s v="Deserción Distancia"/>
        <s v="Estudiantes Centro Universitario"/>
        <s v="Matrícula Nuevos"/>
        <s v="EBITDA"/>
        <s v="Diversificación de Ingres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">
  <r>
    <x v="0"/>
    <s v="METAS FRENTE 1: IDENTIDAD MISIONAL Y CULTURA MINUTO DE DIOS"/>
    <s v="50% de profesores de planta (TC y MT) con contratos anualizados o indefinidos. Plan de mejoras Acreditación"/>
    <x v="0"/>
    <s v="N° de profesores de planta (TC y MT) con contratos anualizados o indefinidos / N° de profesores de planta del periodo."/>
    <n v="0.5"/>
    <x v="0"/>
    <x v="0"/>
    <x v="0"/>
    <x v="0"/>
    <x v="0"/>
    <x v="0"/>
    <x v="0"/>
  </r>
  <r>
    <x v="0"/>
    <s v="METAS FRENTE 1: IDENTIDAD MISIONAL Y CULTURA MINUTO DE DIOS"/>
    <s v="54% de profesores de planta en el escalafón. Plan de mejoras Acreditación"/>
    <x v="1"/>
    <s v="(Numero de profesores de planta escalafonados / Numero de profesores de planta) * 100 "/>
    <n v="0.55000000000000004"/>
    <x v="1"/>
    <x v="1"/>
    <x v="1"/>
    <x v="1"/>
    <x v="1"/>
    <x v="1"/>
    <x v="1"/>
  </r>
  <r>
    <x v="0"/>
    <s v="METAS FRENTE 1: IDENTIDAD MISIONAL Y CULTURA MINUTO DE DIOS"/>
    <s v="10% de profesores con nivel de doctorado. Plan de mejoras Acreditación"/>
    <x v="2"/>
    <m/>
    <n v="0.17"/>
    <x v="2"/>
    <x v="2"/>
    <x v="2"/>
    <x v="2"/>
    <x v="2"/>
    <x v="2"/>
    <x v="2"/>
  </r>
  <r>
    <x v="0"/>
    <s v="METAS FRENTE 2: INNOVACIÓN ACADÉMICA, CALIDAD Y EXPERIENCIA VIBRANTE"/>
    <s v="Resultados obtenidos en las pruebas saber PRO referente a las competencias genéricas en Presencial: Estar en el nivel de significancia con respecto a la media nacional. Plan de mejoras Acreditación "/>
    <x v="3"/>
    <s v="Resultados obtenidos en las pruebas saber PRO referente a las competencias genéricas en Presencial"/>
    <n v="145"/>
    <x v="3"/>
    <x v="3"/>
    <x v="3"/>
    <x v="3"/>
    <x v="3"/>
    <x v="3"/>
    <x v="3"/>
  </r>
  <r>
    <x v="1"/>
    <s v="METAS FRENTE 2: INNOVACIÓN ACADÉMICA, CALIDAD Y EXPERIENCIA VIBRANTE"/>
    <s v="Resultados obtenidos en las pruebas saber PRO referente a las competencias genéricas en Presencial: Estar en el nivel de significancia con respecto a la media nacional. Plan de mejoras Acreditación "/>
    <x v="3"/>
    <s v="Resultados obtenidos en las pruebas saber PRO referente a las competencias genéricas en Presencial"/>
    <n v="145"/>
    <x v="3"/>
    <x v="3"/>
    <x v="3"/>
    <x v="3"/>
    <x v="3"/>
    <x v="3"/>
    <x v="3"/>
  </r>
  <r>
    <x v="2"/>
    <s v="METAS FRENTE 2: INNOVACIÓN ACADÉMICA, CALIDAD Y EXPERIENCIA VIBRANTE"/>
    <s v="Resultados obtenidos en las pruebas saber PRO referente a las competencias genéricas en Presencial: Estar en el nivel de significancia con respecto a la media nacional. Plan de mejoras Acreditación "/>
    <x v="3"/>
    <s v="Resultados obtenidos en las pruebas saber PRO referente a las competencias genéricas en Presencial"/>
    <n v="139"/>
    <x v="4"/>
    <x v="4"/>
    <x v="4"/>
    <x v="4"/>
    <x v="4"/>
    <x v="4"/>
    <x v="3"/>
  </r>
  <r>
    <x v="0"/>
    <s v="METAS FRENTE 2: INNOVACIÓN ACADÉMICA, CALIDAD Y EXPERIENCIA VIBRANTE"/>
    <s v="Resultados obtenidos en las pruebas saber PRO referente a las competencias genéricas en Distancia: Estar en el nivel de significancia (- 9 puntos) con respecto a la media nacional. Plan de mejoras Acreditación "/>
    <x v="4"/>
    <s v="Resultados obtenidos en las pruebas saber PRO referente a las competencias genéricas en Distancia"/>
    <n v="134"/>
    <x v="5"/>
    <x v="5"/>
    <x v="5"/>
    <x v="5"/>
    <x v="5"/>
    <x v="5"/>
    <x v="4"/>
  </r>
  <r>
    <x v="3"/>
    <s v="METAS FRENTE 2: INNOVACIÓN ACADÉMICA, CALIDAD Y EXPERIENCIA VIBRANTE"/>
    <s v="Resultados obtenidos en las pruebas saber PRO referente a las competencias genéricas en Distancia: Estar en el nivel de significancia (- 9 puntos) con respecto a la media nacional. Plan de mejoras Acreditación "/>
    <x v="4"/>
    <s v="Resultados obtenidos en las pruebas saber PRO referente a las competencias genéricas en Distancia"/>
    <n v="133"/>
    <x v="6"/>
    <x v="6"/>
    <x v="6"/>
    <x v="6"/>
    <x v="6"/>
    <x v="6"/>
    <x v="4"/>
  </r>
  <r>
    <x v="1"/>
    <s v="METAS FRENTE 2: INNOVACIÓN ACADÉMICA, CALIDAD Y EXPERIENCIA VIBRANTE"/>
    <s v="Resultados obtenidos en las pruebas saber PRO referente a las competencias genéricas en Distancia: Estar en el nivel de significancia (- 9 puntos) con respecto a la media nacional. Plan de mejoras Acreditación "/>
    <x v="4"/>
    <s v="Resultados obtenidos en las pruebas saber PRO referente a las competencias genéricas en Distancia"/>
    <n v="135"/>
    <x v="7"/>
    <x v="7"/>
    <x v="7"/>
    <x v="7"/>
    <x v="7"/>
    <x v="7"/>
    <x v="4"/>
  </r>
  <r>
    <x v="4"/>
    <s v="METAS FRENTE 2: INNOVACIÓN ACADÉMICA, CALIDAD Y EXPERIENCIA VIBRANTE"/>
    <s v="Resultados obtenidos en las pruebas saber PRO referente a las competencias genéricas en Distancia: Estar en el nivel de significancia (- 9 puntos) con respecto a la media nacional. Plan de mejoras Acreditación "/>
    <x v="4"/>
    <s v="Resultados obtenidos en las pruebas saber PRO referente a las competencias genéricas en Distancia"/>
    <n v="134"/>
    <x v="5"/>
    <x v="5"/>
    <x v="5"/>
    <x v="5"/>
    <x v="5"/>
    <x v="5"/>
    <x v="4"/>
  </r>
  <r>
    <x v="2"/>
    <s v="METAS FRENTE 2: INNOVACIÓN ACADÉMICA, CALIDAD Y EXPERIENCIA VIBRANTE"/>
    <s v="Resultados obtenidos en las pruebas saber PRO referente a las competencias genéricas en Distancia: Estar en el nivel de significancia (- 9 puntos) con respecto a la media nacional. Plan de mejoras Acreditación "/>
    <x v="4"/>
    <s v="Resultados obtenidos en las pruebas saber PRO referente a las competencias genéricas en Distancia"/>
    <n v="134"/>
    <x v="5"/>
    <x v="5"/>
    <x v="5"/>
    <x v="5"/>
    <x v="5"/>
    <x v="5"/>
    <x v="4"/>
  </r>
  <r>
    <x v="5"/>
    <s v="METAS FRENTE 2: INNOVACIÓN ACADÉMICA, CALIDAD Y EXPERIENCIA VIBRANTE"/>
    <s v="Resultados obtenidos en las pruebas saber PRO referente a las competencias genéricas en Distancia: Estar en el nivel de significancia (- 9 puntos) con respecto a la media nacional. Plan de mejoras Acreditación "/>
    <x v="4"/>
    <s v="Resultados obtenidos en las pruebas saber PRO referente a las competencias genéricas en Distancia"/>
    <n v="131"/>
    <x v="8"/>
    <x v="8"/>
    <x v="8"/>
    <x v="8"/>
    <x v="8"/>
    <x v="8"/>
    <x v="4"/>
  </r>
  <r>
    <x v="0"/>
    <s v="METAS FRENTE 3: INVESTIGACIÓN, INNOVACIÓN E IMPACTO SOCIAL"/>
    <s v="16% de autores con indice H de google Scholar igual o mayor a 5"/>
    <x v="5"/>
    <s v="(Numero de autores con indice H de google Scholar igual o mayor a 5 / Numero de autores)* 100"/>
    <n v="0.125"/>
    <x v="9"/>
    <x v="9"/>
    <x v="9"/>
    <x v="9"/>
    <x v="9"/>
    <x v="9"/>
    <x v="5"/>
  </r>
  <r>
    <x v="0"/>
    <s v="METAS FRENTE 3: INVESTIGACIÓN, INNOVACIÓN E IMPACTO SOCIAL"/>
    <s v="En el 2030 se contará con 8 grupos de investigación en la categoría A1 y A de Minciencias. Plan de mejoras Acreditación. "/>
    <x v="6"/>
    <s v="(Numero de grupos de investigación en la categoría A1 y A de Minciencias / Numero de grupos de investigación)* 100"/>
    <n v="5"/>
    <x v="10"/>
    <x v="10"/>
    <x v="10"/>
    <x v="10"/>
    <x v="10"/>
    <x v="10"/>
    <x v="6"/>
  </r>
  <r>
    <x v="0"/>
    <s v="METAS FRENTE 4: CENTROS UNIVERSITARIOS Y DESARROLLO ORGANIZACIONAL"/>
    <s v="Promover el crecimiento, desarrollo y fortalecimiento de los Centros Universitarios que impacte en la mejora de su tipología, así: 1 en A, 4 en B, sostenibles financieramente."/>
    <x v="2"/>
    <m/>
    <s v="A=1_x000a_B=2_x000a_C=5_x000a_D=1"/>
    <x v="11"/>
    <x v="11"/>
    <x v="11"/>
    <x v="11"/>
    <x v="11"/>
    <x v="11"/>
    <x v="7"/>
  </r>
  <r>
    <x v="3"/>
    <s v="METAS FRENTE 4: CENTROS UNIVERSITARIOS Y DESARROLLO ORGANIZACIONAL"/>
    <s v="Promover el crecimiento, desarrollo y fortalecimiento del Centro Universitario en su tipologia"/>
    <x v="7"/>
    <s v="(N° de centros universitarios con mejoras en su tipología y sostenibilidad / N° total de centros universitarios) * 100 "/>
    <s v="C "/>
    <x v="12"/>
    <x v="12"/>
    <x v="12"/>
    <x v="12"/>
    <x v="12"/>
    <x v="12"/>
    <x v="7"/>
  </r>
  <r>
    <x v="1"/>
    <s v="METAS FRENTE 4: CENTROS UNIVERSITARIOS Y DESARROLLO ORGANIZACIONAL"/>
    <s v="Promover el crecimiento, desarrollo y fortalecimiento del Centro Universitario en su tipologia"/>
    <x v="7"/>
    <s v="(N° de centros universitarios con mejoras en su tipología y sostenibilidad / N° total de centros universitarios) * 100 "/>
    <s v="A "/>
    <x v="13"/>
    <x v="13"/>
    <x v="13"/>
    <x v="13"/>
    <x v="13"/>
    <x v="13"/>
    <x v="7"/>
  </r>
  <r>
    <x v="4"/>
    <s v="METAS FRENTE 4: CENTROS UNIVERSITARIOS Y DESARROLLO ORGANIZACIONAL"/>
    <s v="Promover el crecimiento, desarrollo y fortalecimiento del Centro Universitario en su tipologia"/>
    <x v="7"/>
    <s v="(N° de centros universitarios con mejoras en su tipología y sostenibilidad / N° total de centros universitarios) * 100 "/>
    <s v="C "/>
    <x v="12"/>
    <x v="12"/>
    <x v="12"/>
    <x v="14"/>
    <x v="14"/>
    <x v="12"/>
    <x v="7"/>
  </r>
  <r>
    <x v="2"/>
    <s v="METAS FRENTE 4: CENTROS UNIVERSITARIOS Y DESARROLLO ORGANIZACIONAL"/>
    <s v="Promover el crecimiento, desarrollo y fortalecimiento del Centro Universitario en su tipologia"/>
    <x v="7"/>
    <s v="(N° de centros universitarios con mejoras en su tipología y sostenibilidad / N° total de centros universitarios) * 100 "/>
    <s v="C "/>
    <x v="12"/>
    <x v="12"/>
    <x v="12"/>
    <x v="14"/>
    <x v="12"/>
    <x v="12"/>
    <x v="7"/>
  </r>
  <r>
    <x v="5"/>
    <s v="METAS FRENTE 4: CENTROS UNIVERSITARIOS Y DESARROLLO ORGANIZACIONAL"/>
    <s v="Promover el crecimiento, desarrollo y fortalecimiento del Centro Universitario en su tipologia"/>
    <x v="7"/>
    <s v="(N° de centros universitarios con mejoras en su tipología y sostenibilidad / N° total de centros universitarios) * 100 "/>
    <s v="C "/>
    <x v="12"/>
    <x v="12"/>
    <x v="12"/>
    <x v="14"/>
    <x v="14"/>
    <x v="12"/>
    <x v="7"/>
  </r>
  <r>
    <x v="0"/>
    <s v="METAS FRENTE 4: CENTROS UNIVERSITARIOS Y DESARROLLO ORGANIZACIONAL"/>
    <s v="60% programas acreditados, de los que son acreditables en Alta Calidad por el CNA  Plan de mejoras Acreditación"/>
    <x v="2"/>
    <m/>
    <s v="20/23"/>
    <x v="14"/>
    <x v="14"/>
    <x v="14"/>
    <x v="15"/>
    <x v="15"/>
    <x v="14"/>
    <x v="8"/>
  </r>
  <r>
    <x v="0"/>
    <s v="METAS FRENTE 7: MERCADEO, CAPTACIÓN Y EXPERIENCIA"/>
    <s v="68% de tasa de conversión de admitidos a matriculados "/>
    <x v="8"/>
    <s v="(Numero de estudiantes nuevos / Numero de admitidos) * 100"/>
    <n v="0"/>
    <x v="15"/>
    <x v="15"/>
    <x v="15"/>
    <x v="16"/>
    <x v="16"/>
    <x v="15"/>
    <x v="9"/>
  </r>
  <r>
    <x v="3"/>
    <s v="METAS FRENTE 7: MERCADEO, CAPTACIÓN Y EXPERIENCIA"/>
    <s v="68% de tasa de conversión de admitidos a matriculados "/>
    <x v="8"/>
    <s v="(Numero de estudiantes nuevos / Numero de admitidos) * 100"/>
    <n v="0"/>
    <x v="15"/>
    <x v="15"/>
    <x v="15"/>
    <x v="16"/>
    <x v="16"/>
    <x v="15"/>
    <x v="9"/>
  </r>
  <r>
    <x v="1"/>
    <s v="METAS FRENTE 7: MERCADEO, CAPTACIÓN Y EXPERIENCIA"/>
    <s v="68% de tasa de conversión de admitidos a matriculados "/>
    <x v="8"/>
    <s v="(Numero de estudiantes nuevos / Numero de admitidos) * 100"/>
    <n v="0"/>
    <x v="15"/>
    <x v="15"/>
    <x v="15"/>
    <x v="16"/>
    <x v="16"/>
    <x v="15"/>
    <x v="9"/>
  </r>
  <r>
    <x v="4"/>
    <s v="METAS FRENTE 7: MERCADEO, CAPTACIÓN Y EXPERIENCIA"/>
    <s v="68% de tasa de conversión de admitidos a matriculados "/>
    <x v="8"/>
    <s v="(Numero de estudiantes nuevos / Numero de admitidos) * 100"/>
    <n v="0"/>
    <x v="15"/>
    <x v="15"/>
    <x v="15"/>
    <x v="16"/>
    <x v="16"/>
    <x v="15"/>
    <x v="9"/>
  </r>
  <r>
    <x v="2"/>
    <s v="METAS FRENTE 7: MERCADEO, CAPTACIÓN Y EXPERIENCIA"/>
    <s v="68% de tasa de conversión de admitidos a matriculados "/>
    <x v="8"/>
    <s v="(Numero de estudiantes nuevos / Numero de admitidos) * 100"/>
    <n v="0"/>
    <x v="15"/>
    <x v="15"/>
    <x v="15"/>
    <x v="16"/>
    <x v="16"/>
    <x v="15"/>
    <x v="9"/>
  </r>
  <r>
    <x v="5"/>
    <s v="METAS FRENTE 7: MERCADEO, CAPTACIÓN Y EXPERIENCIA"/>
    <s v="68% de tasa de conversión de admitidos a matriculados "/>
    <x v="8"/>
    <s v="(Numero de estudiantes nuevos / Numero de admitidos) * 100"/>
    <n v="0"/>
    <x v="15"/>
    <x v="15"/>
    <x v="15"/>
    <x v="16"/>
    <x v="16"/>
    <x v="15"/>
    <x v="9"/>
  </r>
  <r>
    <x v="0"/>
    <s v="METAS FRENTE 7: MERCADEO, CAPTACIÓN Y EXPERIENCIA"/>
    <s v="50% de los estudiantes han cursado un programa de educación continua ofertado por UNIMINUTO  "/>
    <x v="9"/>
    <s v="Numero de estudiantes cursado un programa de educación continua ofertado por UNIMINUTO"/>
    <n v="0"/>
    <x v="16"/>
    <x v="16"/>
    <x v="16"/>
    <x v="17"/>
    <x v="17"/>
    <x v="16"/>
    <x v="10"/>
  </r>
  <r>
    <x v="3"/>
    <s v="METAS FRENTE 7: MERCADEO, CAPTACIÓN Y EXPERIENCIA"/>
    <s v="50% de los estudiantes han cursado un programa de educación continua ofertado por UNIMINUTO  "/>
    <x v="9"/>
    <s v="Numero de estudiantes cursado un programa de educación continua ofertado por UNIMINUTO"/>
    <n v="0"/>
    <x v="17"/>
    <x v="17"/>
    <x v="17"/>
    <x v="18"/>
    <x v="18"/>
    <x v="17"/>
    <x v="10"/>
  </r>
  <r>
    <x v="1"/>
    <s v="METAS FRENTE 7: MERCADEO, CAPTACIÓN Y EXPERIENCIA"/>
    <s v="50% de los estudiantes han cursado un programa de educación continua ofertado por UNIMINUTO  "/>
    <x v="9"/>
    <s v="Numero de estudiantes cursado un programa de educación continua ofertado por UNIMINUTO"/>
    <n v="0"/>
    <x v="18"/>
    <x v="18"/>
    <x v="18"/>
    <x v="19"/>
    <x v="19"/>
    <x v="18"/>
    <x v="10"/>
  </r>
  <r>
    <x v="4"/>
    <s v="METAS FRENTE 7: MERCADEO, CAPTACIÓN Y EXPERIENCIA"/>
    <s v="50% de los estudiantes han cursado un programa de educación continua ofertado por UNIMINUTO  "/>
    <x v="9"/>
    <s v="Numero de estudiantes cursado un programa de educación continua ofertado por UNIMINUTO"/>
    <n v="0"/>
    <x v="19"/>
    <x v="19"/>
    <x v="19"/>
    <x v="20"/>
    <x v="20"/>
    <x v="19"/>
    <x v="10"/>
  </r>
  <r>
    <x v="2"/>
    <s v="METAS FRENTE 7: MERCADEO, CAPTACIÓN Y EXPERIENCIA"/>
    <s v="50% de los estudiantes han cursado un programa de educación continua ofertado por UNIMINUTO  "/>
    <x v="9"/>
    <s v="Numero de estudiantes cursado un programa de educación continua ofertado por UNIMINUTO"/>
    <n v="0"/>
    <x v="20"/>
    <x v="20"/>
    <x v="20"/>
    <x v="21"/>
    <x v="21"/>
    <x v="20"/>
    <x v="10"/>
  </r>
  <r>
    <x v="5"/>
    <s v="METAS FRENTE 7: MERCADEO, CAPTACIÓN Y EXPERIENCIA"/>
    <s v="50% de los estudiantes han cursado un programa de educación continua ofertado por UNIMINUTO  "/>
    <x v="9"/>
    <s v="Numero de estudiantes cursado un programa de educación continua ofertado por UNIMINUTO"/>
    <n v="0"/>
    <x v="21"/>
    <x v="21"/>
    <x v="21"/>
    <x v="22"/>
    <x v="22"/>
    <x v="21"/>
    <x v="10"/>
  </r>
  <r>
    <x v="0"/>
    <s v="METAS FRENTE 7: MERCADEO, CAPTACIÓN Y EXPERIENCIA"/>
    <s v="Deserción por periodo - plan de mejoras.  _x000a_Presencial: mantener deserción en maximo el 9,9%.  _x000a_Plan de mejoras Acreditación "/>
    <x v="10"/>
    <s v="Tasa de desercion"/>
    <n v="9.9599999999999994E-2"/>
    <x v="22"/>
    <x v="22"/>
    <x v="22"/>
    <x v="23"/>
    <x v="23"/>
    <x v="22"/>
    <x v="11"/>
  </r>
  <r>
    <x v="3"/>
    <s v="METAS FRENTE 7: MERCADEO, CAPTACIÓN Y EXPERIENCIA"/>
    <s v="Deserción por periodo - plan de mejoras.  _x000a_Presencial: mantener deserción en maximo el 9,9%.  _x000a_Plan de mejoras Acreditación "/>
    <x v="10"/>
    <s v="Tasa de desercion"/>
    <n v="0"/>
    <x v="22"/>
    <x v="22"/>
    <x v="22"/>
    <x v="23"/>
    <x v="23"/>
    <x v="22"/>
    <x v="11"/>
  </r>
  <r>
    <x v="1"/>
    <s v="METAS FRENTE 7: MERCADEO, CAPTACIÓN Y EXPERIENCIA"/>
    <s v="Deserción por periodo - plan de mejoras.  _x000a_Presencial: mantener deserción en maximo el 9,9%.  _x000a_Plan de mejoras Acreditación "/>
    <x v="10"/>
    <s v="Tasa de desercion"/>
    <n v="0.10150000000000001"/>
    <x v="22"/>
    <x v="22"/>
    <x v="2"/>
    <x v="2"/>
    <x v="23"/>
    <x v="22"/>
    <x v="11"/>
  </r>
  <r>
    <x v="4"/>
    <s v="METAS FRENTE 7: MERCADEO, CAPTACIÓN Y EXPERIENCIA"/>
    <s v="Deserción por periodo - plan de mejoras.  _x000a_Presencial: mantener deserción en maximo el 9,9%.  _x000a_Plan de mejoras Acreditación "/>
    <x v="10"/>
    <s v="Tasa de desercion"/>
    <n v="6.8199999999999997E-2"/>
    <x v="22"/>
    <x v="2"/>
    <x v="22"/>
    <x v="23"/>
    <x v="23"/>
    <x v="22"/>
    <x v="11"/>
  </r>
  <r>
    <x v="5"/>
    <s v="METAS FRENTE 7: MERCADEO, CAPTACIÓN Y EXPERIENCIA"/>
    <s v="Deserción por periodo - plan de mejoras.  _x000a_Presencial: mantener deserción en maximo el 9,9%.  _x000a_Plan de mejoras Acreditación "/>
    <x v="10"/>
    <s v="Tasa de desercion"/>
    <n v="0"/>
    <x v="23"/>
    <x v="23"/>
    <x v="22"/>
    <x v="23"/>
    <x v="23"/>
    <x v="22"/>
    <x v="11"/>
  </r>
  <r>
    <x v="2"/>
    <s v="METAS FRENTE 7: MERCADEO, CAPTACIÓN Y EXPERIENCIA"/>
    <s v="Deserción por periodo - plan de mejoras.  _x000a_Presencial: mantener deserción en maximo el 9,9%.  _x000a_Plan de mejoras Acreditación "/>
    <x v="10"/>
    <s v="Tasa de desercion"/>
    <n v="0.09"/>
    <x v="22"/>
    <x v="22"/>
    <x v="22"/>
    <x v="23"/>
    <x v="23"/>
    <x v="22"/>
    <x v="11"/>
  </r>
  <r>
    <x v="0"/>
    <s v="METAS FRENTE 7: MERCADEO, CAPTACIÓN Y EXPERIENCIA"/>
    <s v="Deserción por periodo - plan de mejoras.   _x000a_Distancia: Llegar a una deserción al 2030 del 11%. _x000a_Plan de mejoras Acreditación "/>
    <x v="10"/>
    <s v="Tasa de desercion"/>
    <n v="0.1195"/>
    <x v="24"/>
    <x v="24"/>
    <x v="23"/>
    <x v="24"/>
    <x v="2"/>
    <x v="23"/>
    <x v="12"/>
  </r>
  <r>
    <x v="3"/>
    <s v="METAS FRENTE 7: MERCADEO, CAPTACIÓN Y EXPERIENCIA"/>
    <s v="Deserción por periodo - plan de mejoras.   _x000a_Distancia: Llegar a una deserción al 2030 del 11%. _x000a_Plan de mejoras Acreditación "/>
    <x v="10"/>
    <s v="Tasa de desercion"/>
    <n v="0.11310000000000001"/>
    <x v="25"/>
    <x v="25"/>
    <x v="23"/>
    <x v="2"/>
    <x v="24"/>
    <x v="23"/>
    <x v="12"/>
  </r>
  <r>
    <x v="1"/>
    <s v="METAS FRENTE 7: MERCADEO, CAPTACIÓN Y EXPERIENCIA"/>
    <s v="Deserción por periodo - plan de mejoras.   _x000a_Distancia: Llegar a una deserción al 2030 del 11%. _x000a_Plan de mejoras Acreditación "/>
    <x v="10"/>
    <s v="Tasa de desercion"/>
    <n v="0.1245"/>
    <x v="25"/>
    <x v="25"/>
    <x v="24"/>
    <x v="24"/>
    <x v="2"/>
    <x v="2"/>
    <x v="12"/>
  </r>
  <r>
    <x v="4"/>
    <s v="METAS FRENTE 7: MERCADEO, CAPTACIÓN Y EXPERIENCIA"/>
    <s v="Deserción por periodo - plan de mejoras.   _x000a_Distancia: Llegar a una deserción al 2030 del 11%. _x000a_Plan de mejoras Acreditación "/>
    <x v="10"/>
    <s v="Tasa de desercion"/>
    <n v="0.1191"/>
    <x v="26"/>
    <x v="26"/>
    <x v="24"/>
    <x v="25"/>
    <x v="2"/>
    <x v="2"/>
    <x v="12"/>
  </r>
  <r>
    <x v="2"/>
    <s v="METAS FRENTE 7: MERCADEO, CAPTACIÓN Y EXPERIENCIA"/>
    <s v="Deserción por periodo - plan de mejoras.   _x000a_Distancia: Llegar a una deserción al 2030 del 11%. _x000a_Plan de mejoras Acreditación "/>
    <x v="10"/>
    <s v="Tasa de desercion"/>
    <n v="0.1163"/>
    <x v="25"/>
    <x v="25"/>
    <x v="23"/>
    <x v="24"/>
    <x v="2"/>
    <x v="2"/>
    <x v="12"/>
  </r>
  <r>
    <x v="5"/>
    <s v="METAS FRENTE 7: MERCADEO, CAPTACIÓN Y EXPERIENCIA"/>
    <s v="Deserción por periodo - plan de mejoras.   _x000a_Distancia: Llegar a una deserción al 2030 del 11%. _x000a_Plan de mejoras Acreditación "/>
    <x v="10"/>
    <s v="Tasa de desercion"/>
    <n v="0"/>
    <x v="23"/>
    <x v="25"/>
    <x v="24"/>
    <x v="25"/>
    <x v="25"/>
    <x v="23"/>
    <x v="12"/>
  </r>
  <r>
    <x v="0"/>
    <s v="METAS FRENTE 7: MERCADEO, CAPTACIÓN Y EXPERIENCIA"/>
    <s v="Alcanzará en el año 2030 una población total de estudiantes de pregrado y posgrado (nuevos y continuos) de 30.000 estudiantes."/>
    <x v="11"/>
    <s v="Numero de estudiantes matriculados"/>
    <n v="23216"/>
    <x v="27"/>
    <x v="27"/>
    <x v="25"/>
    <x v="26"/>
    <x v="26"/>
    <x v="24"/>
    <x v="13"/>
  </r>
  <r>
    <x v="3"/>
    <s v="METAS FRENTE 7: MERCADEO, CAPTACIÓN Y EXPERIENCIA"/>
    <s v="El Centro Universitario alcanzará en el año 2030 una población total de estudiantes de pregrado y posgrado (nuevos y continuos) de 6.300 estudiantes."/>
    <x v="11"/>
    <s v="Numero de estudiantes matriculados"/>
    <n v="1719"/>
    <x v="28"/>
    <x v="28"/>
    <x v="26"/>
    <x v="27"/>
    <x v="27"/>
    <x v="25"/>
    <x v="13"/>
  </r>
  <r>
    <x v="1"/>
    <s v="METAS FRENTE 7: MERCADEO, CAPTACIÓN Y EXPERIENCIA"/>
    <s v="El Centro Universitario alcanzará en el año 2030 una población total de estudiantes de pregrado y posgrado (nuevos y continuos) de 18.500 estudiantes."/>
    <x v="11"/>
    <s v="Numero de estudiantes matriculados"/>
    <n v="18150"/>
    <x v="29"/>
    <x v="29"/>
    <x v="27"/>
    <x v="28"/>
    <x v="28"/>
    <x v="26"/>
    <x v="13"/>
  </r>
  <r>
    <x v="4"/>
    <s v="METAS FRENTE 7: MERCADEO, CAPTACIÓN Y EXPERIENCIA"/>
    <s v="El Centro Universitario alcanzará en el año 2030 una población total de estudiantes de pregrado y posgrado (nuevos y continuos) de 1.300 estudiantes."/>
    <x v="11"/>
    <s v="Numero de estudiantes matriculados"/>
    <n v="1471"/>
    <x v="30"/>
    <x v="30"/>
    <x v="28"/>
    <x v="29"/>
    <x v="29"/>
    <x v="27"/>
    <x v="13"/>
  </r>
  <r>
    <x v="2"/>
    <s v="METAS FRENTE 7: MERCADEO, CAPTACIÓN Y EXPERIENCIA"/>
    <s v="El Centro Universitario alcanzará en el año 2030 una población total de estudiantes de pregrado y posgrado (nuevos y continuos) de 2.300 estudiantes."/>
    <x v="11"/>
    <s v="Numero de estudiantes matriculados"/>
    <n v="1657"/>
    <x v="31"/>
    <x v="31"/>
    <x v="29"/>
    <x v="30"/>
    <x v="30"/>
    <x v="28"/>
    <x v="13"/>
  </r>
  <r>
    <x v="5"/>
    <s v="METAS FRENTE 7: MERCADEO, CAPTACIÓN Y EXPERIENCIA"/>
    <s v="El Centro Universitario alcanzará en el año 2030 una población total de estudiantes de pregrado y posgrado (nuevos y continuos) de 880 estudiantes."/>
    <x v="11"/>
    <s v="Numero de estudiantes matriculados"/>
    <n v="219"/>
    <x v="32"/>
    <x v="32"/>
    <x v="30"/>
    <x v="31"/>
    <x v="31"/>
    <x v="29"/>
    <x v="13"/>
  </r>
  <r>
    <x v="0"/>
    <s v="METAS FRENTE 7: MERCADEO, CAPTACIÓN Y EXPERIENCIA"/>
    <s v="Aumentar en 85.000 estudiantes nuevos del año 2024 al año 2030, resultado de la diversificación de la oferta educativa proyectada "/>
    <x v="12"/>
    <s v="N° de estudiantes nuevos"/>
    <n v="8745"/>
    <x v="33"/>
    <x v="33"/>
    <x v="31"/>
    <x v="32"/>
    <x v="32"/>
    <x v="30"/>
    <x v="14"/>
  </r>
  <r>
    <x v="3"/>
    <s v="METAS FRENTE 7: MERCADEO, CAPTACIÓN Y EXPERIENCIA"/>
    <s v="Aumentar en 16.000 estudiantes nuevos del año 2024 al año 2030, resultado de la diversificación de la oferta educativa proyectada "/>
    <x v="12"/>
    <s v="N° de estudiantes nuevos"/>
    <n v="1428"/>
    <x v="34"/>
    <x v="34"/>
    <x v="32"/>
    <x v="33"/>
    <x v="33"/>
    <x v="31"/>
    <x v="14"/>
  </r>
  <r>
    <x v="1"/>
    <s v="METAS FRENTE 7: MERCADEO, CAPTACIÓN Y EXPERIENCIA"/>
    <s v="Aumentar en 51.000 estudiantes nuevos del año 2024 al año 2030, resultado de la diversificación de la oferta educativa proyectada "/>
    <x v="12"/>
    <s v="N° de estudiantes nuevos"/>
    <n v="6612"/>
    <x v="35"/>
    <x v="35"/>
    <x v="33"/>
    <x v="34"/>
    <x v="34"/>
    <x v="32"/>
    <x v="14"/>
  </r>
  <r>
    <x v="4"/>
    <s v="METAS FRENTE 7: MERCADEO, CAPTACIÓN Y EXPERIENCIA"/>
    <s v="Aumentar en 4.900 estudiantes nuevos del año 2024 al año 2030, resultado de la diversificación de la oferta educativa proyectada "/>
    <x v="12"/>
    <s v="N° de estudiantes nuevos"/>
    <n v="354"/>
    <x v="36"/>
    <x v="36"/>
    <x v="34"/>
    <x v="35"/>
    <x v="35"/>
    <x v="33"/>
    <x v="14"/>
  </r>
  <r>
    <x v="2"/>
    <s v="METAS FRENTE 7: MERCADEO, CAPTACIÓN Y EXPERIENCIA"/>
    <s v="Aumentar en 8.300 estudiantes nuevos del año 2024 al año 2030, resultado de la diversificación de la oferta educativa proyectada "/>
    <x v="12"/>
    <s v="N° de estudiantes nuevos"/>
    <n v="221"/>
    <x v="37"/>
    <x v="37"/>
    <x v="35"/>
    <x v="36"/>
    <x v="36"/>
    <x v="34"/>
    <x v="14"/>
  </r>
  <r>
    <x v="5"/>
    <s v="METAS FRENTE 7: MERCADEO, CAPTACIÓN Y EXPERIENCIA"/>
    <s v="Aumentar en 5.200 estudiantes nuevos del año 2024 al año 2030, resultado de la diversificación de la oferta educativa proyectada "/>
    <x v="12"/>
    <s v="N° de estudiantes nuevos"/>
    <n v="105"/>
    <x v="38"/>
    <x v="38"/>
    <x v="36"/>
    <x v="37"/>
    <x v="37"/>
    <x v="35"/>
    <x v="14"/>
  </r>
  <r>
    <x v="0"/>
    <s v="METAS FRENTE 8: SOSTENIBILIDAD Y ECOLOGÍA INTEGRAL"/>
    <s v="Generar un margen EBITDA al menos del 20% a 2030 garantizando la sostenibilidad financiera y promoviendo la optimización de los recursos. BCB"/>
    <x v="2"/>
    <m/>
    <n v="0"/>
    <x v="39"/>
    <x v="39"/>
    <x v="37"/>
    <x v="38"/>
    <x v="38"/>
    <x v="36"/>
    <x v="15"/>
  </r>
  <r>
    <x v="3"/>
    <s v="METAS FRENTE 8: SOSTENIBILIDAD Y ECOLOGÍA INTEGRAL"/>
    <s v="Generar un margen EBITDA al menos del 20% a 2030 garantizando la sostenibilidad financiera y promoviendo la optimización de los recursos. BCB"/>
    <x v="2"/>
    <m/>
    <n v="0"/>
    <x v="40"/>
    <x v="40"/>
    <x v="38"/>
    <x v="39"/>
    <x v="39"/>
    <x v="37"/>
    <x v="15"/>
  </r>
  <r>
    <x v="1"/>
    <s v="METAS FRENTE 8: SOSTENIBILIDAD Y ECOLOGÍA INTEGRAL"/>
    <s v="Generar un margen EBITDA al menos del 20% a 2030 garantizando la sostenibilidad financiera y promoviendo la optimización de los recursos. BCB"/>
    <x v="2"/>
    <m/>
    <n v="0"/>
    <x v="41"/>
    <x v="41"/>
    <x v="39"/>
    <x v="40"/>
    <x v="40"/>
    <x v="38"/>
    <x v="15"/>
  </r>
  <r>
    <x v="4"/>
    <s v="METAS FRENTE 8: SOSTENIBILIDAD Y ECOLOGÍA INTEGRAL"/>
    <s v="Generar un margen EBITDA al menos del 20% a 2030 garantizando la sostenibilidad financiera y promoviendo la optimización de los recursos. BCB"/>
    <x v="2"/>
    <m/>
    <n v="0"/>
    <x v="42"/>
    <x v="42"/>
    <x v="40"/>
    <x v="41"/>
    <x v="41"/>
    <x v="39"/>
    <x v="15"/>
  </r>
  <r>
    <x v="2"/>
    <s v="METAS FRENTE 8: SOSTENIBILIDAD Y ECOLOGÍA INTEGRAL"/>
    <s v="Generar un margen EBITDA al menos del 20% a 2030 garantizando la sostenibilidad financiera y promoviendo la optimización de los recursos. BCB"/>
    <x v="2"/>
    <m/>
    <n v="0"/>
    <x v="43"/>
    <x v="43"/>
    <x v="41"/>
    <x v="42"/>
    <x v="42"/>
    <x v="40"/>
    <x v="15"/>
  </r>
  <r>
    <x v="5"/>
    <s v="METAS FRENTE 8: SOSTENIBILIDAD Y ECOLOGÍA INTEGRAL"/>
    <s v="Generar un margen EBITDA al menos del 20% a 2030 garantizando la sostenibilidad financiera y promoviendo la optimización de los recursos. BCB"/>
    <x v="2"/>
    <m/>
    <n v="0"/>
    <x v="44"/>
    <x v="44"/>
    <x v="42"/>
    <x v="43"/>
    <x v="43"/>
    <x v="41"/>
    <x v="15"/>
  </r>
  <r>
    <x v="0"/>
    <s v="METAS FRENTE 8: SOSTENIBILIDAD Y ECOLOGÍA INTEGRAL"/>
    <s v="Impulsar la diversificación de ingresos de la Sede alcanzando un 10% provenientes de fuentes distinta a matrícula (proyectos, educación continua, donaciones, diplomados como opción de grado e intersemestrales)."/>
    <x v="2"/>
    <m/>
    <n v="0"/>
    <x v="45"/>
    <x v="45"/>
    <x v="43"/>
    <x v="44"/>
    <x v="44"/>
    <x v="42"/>
    <x v="16"/>
  </r>
  <r>
    <x v="3"/>
    <s v="METAS FRENTE 8: SOSTENIBILIDAD Y ECOLOGÍA INTEGRAL"/>
    <s v="Impulsar la diversificación de ingresos alcanzando un 10% provenientes de fuentes distinta a matrícula (proyectos, educación continua, donaciones, diplomados como opción de grado e intersemestrales)."/>
    <x v="2"/>
    <m/>
    <n v="0"/>
    <x v="45"/>
    <x v="45"/>
    <x v="43"/>
    <x v="44"/>
    <x v="44"/>
    <x v="42"/>
    <x v="16"/>
  </r>
  <r>
    <x v="1"/>
    <s v="METAS FRENTE 8: SOSTENIBILIDAD Y ECOLOGÍA INTEGRAL"/>
    <s v="Impulsar la diversificación de ingresos alcanzando un 10% provenientes de fuentes distinta a matrícula (proyectos, educación continua, donaciones, diplomados como opción de grado e intersemestrales)."/>
    <x v="2"/>
    <m/>
    <n v="0"/>
    <x v="45"/>
    <x v="45"/>
    <x v="43"/>
    <x v="44"/>
    <x v="44"/>
    <x v="42"/>
    <x v="16"/>
  </r>
  <r>
    <x v="4"/>
    <s v="METAS FRENTE 8: SOSTENIBILIDAD Y ECOLOGÍA INTEGRAL"/>
    <s v="Impulsar la diversificación de ingresos alcanzando un 10% provenientes de fuentes distinta a matrícula (proyectos, educación continua, donaciones, diplomados como opción de grado e intersemestrales)."/>
    <x v="2"/>
    <m/>
    <n v="0"/>
    <x v="45"/>
    <x v="45"/>
    <x v="43"/>
    <x v="44"/>
    <x v="44"/>
    <x v="42"/>
    <x v="16"/>
  </r>
  <r>
    <x v="2"/>
    <s v="METAS FRENTE 8: SOSTENIBILIDAD Y ECOLOGÍA INTEGRAL"/>
    <s v="Impulsar la diversificación de ingresos alcanzando un 10% provenientes de fuentes distinta a matrícula (proyectos, educación continua, donaciones, diplomados como opción de grado e intersemestrales)."/>
    <x v="2"/>
    <m/>
    <n v="0"/>
    <x v="45"/>
    <x v="45"/>
    <x v="43"/>
    <x v="44"/>
    <x v="44"/>
    <x v="42"/>
    <x v="16"/>
  </r>
  <r>
    <x v="5"/>
    <s v="METAS FRENTE 8: SOSTENIBILIDAD Y ECOLOGÍA INTEGRAL"/>
    <s v="Impulsar la diversificación de ingresos alcanzando un 10% provenientes de fuentes distinta a matrícula (proyectos, educación continua, donaciones, diplomados como opción de grado e intersemestrales)."/>
    <x v="2"/>
    <m/>
    <n v="0"/>
    <x v="45"/>
    <x v="45"/>
    <x v="43"/>
    <x v="44"/>
    <x v="44"/>
    <x v="42"/>
    <x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320E6-5FC9-46BD-B06E-7AF1B531B020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13">
    <pivotField axis="axisPage" showAll="0">
      <items count="7">
        <item x="0"/>
        <item x="1"/>
        <item x="4"/>
        <item x="2"/>
        <item x="3"/>
        <item x="5"/>
        <item t="default"/>
      </items>
    </pivotField>
    <pivotField showAll="0"/>
    <pivotField showAll="0"/>
    <pivotField showAll="0">
      <items count="14">
        <item x="10"/>
        <item x="9"/>
        <item x="12"/>
        <item x="6"/>
        <item x="5"/>
        <item x="11"/>
        <item x="0"/>
        <item x="1"/>
        <item x="4"/>
        <item x="3"/>
        <item x="8"/>
        <item x="7"/>
        <item x="2"/>
        <item t="default"/>
      </items>
    </pivotField>
    <pivotField showAll="0"/>
    <pivotField dataField="1" showAll="0"/>
    <pivotField dataField="1" showAll="0">
      <items count="47">
        <item x="23"/>
        <item x="43"/>
        <item x="2"/>
        <item x="22"/>
        <item x="25"/>
        <item x="44"/>
        <item x="26"/>
        <item x="24"/>
        <item x="9"/>
        <item x="42"/>
        <item x="41"/>
        <item x="39"/>
        <item x="40"/>
        <item x="0"/>
        <item x="1"/>
        <item x="15"/>
        <item x="10"/>
        <item x="21"/>
        <item x="19"/>
        <item x="20"/>
        <item x="17"/>
        <item x="8"/>
        <item x="6"/>
        <item x="5"/>
        <item x="7"/>
        <item x="4"/>
        <item x="3"/>
        <item x="32"/>
        <item x="36"/>
        <item x="38"/>
        <item x="18"/>
        <item x="16"/>
        <item x="30"/>
        <item x="37"/>
        <item x="31"/>
        <item x="34"/>
        <item x="28"/>
        <item x="35"/>
        <item x="33"/>
        <item x="29"/>
        <item x="27"/>
        <item x="14"/>
        <item x="45"/>
        <item x="13"/>
        <item x="11"/>
        <item x="12"/>
        <item t="default"/>
      </items>
    </pivotField>
    <pivotField dataField="1" showAll="0">
      <items count="47">
        <item x="23"/>
        <item x="43"/>
        <item x="2"/>
        <item x="22"/>
        <item x="25"/>
        <item x="26"/>
        <item x="24"/>
        <item x="44"/>
        <item x="9"/>
        <item x="41"/>
        <item x="39"/>
        <item x="42"/>
        <item x="40"/>
        <item x="0"/>
        <item x="1"/>
        <item x="15"/>
        <item x="10"/>
        <item x="21"/>
        <item x="19"/>
        <item x="8"/>
        <item x="6"/>
        <item x="5"/>
        <item x="7"/>
        <item x="4"/>
        <item x="3"/>
        <item x="20"/>
        <item x="32"/>
        <item x="17"/>
        <item x="36"/>
        <item x="30"/>
        <item x="31"/>
        <item x="38"/>
        <item x="18"/>
        <item x="37"/>
        <item x="16"/>
        <item x="34"/>
        <item x="28"/>
        <item x="35"/>
        <item x="33"/>
        <item x="29"/>
        <item x="27"/>
        <item x="14"/>
        <item x="45"/>
        <item x="13"/>
        <item x="11"/>
        <item x="12"/>
        <item t="default"/>
      </items>
    </pivotField>
    <pivotField dataField="1" showAll="0">
      <items count="45">
        <item x="22"/>
        <item x="2"/>
        <item x="23"/>
        <item x="24"/>
        <item x="41"/>
        <item x="42"/>
        <item x="9"/>
        <item x="37"/>
        <item x="40"/>
        <item x="39"/>
        <item x="38"/>
        <item x="0"/>
        <item x="1"/>
        <item x="15"/>
        <item x="10"/>
        <item x="21"/>
        <item x="8"/>
        <item x="6"/>
        <item x="5"/>
        <item x="7"/>
        <item x="4"/>
        <item x="3"/>
        <item x="20"/>
        <item x="19"/>
        <item x="36"/>
        <item x="30"/>
        <item x="34"/>
        <item x="29"/>
        <item x="17"/>
        <item x="35"/>
        <item x="28"/>
        <item x="32"/>
        <item x="18"/>
        <item x="16"/>
        <item x="26"/>
        <item x="33"/>
        <item x="31"/>
        <item x="27"/>
        <item x="25"/>
        <item x="14"/>
        <item x="43"/>
        <item x="13"/>
        <item x="11"/>
        <item x="12"/>
        <item t="default"/>
      </items>
    </pivotField>
    <pivotField dataField="1" showAll="0">
      <items count="46">
        <item x="23"/>
        <item x="2"/>
        <item x="24"/>
        <item x="25"/>
        <item x="43"/>
        <item x="42"/>
        <item x="9"/>
        <item x="38"/>
        <item x="41"/>
        <item x="40"/>
        <item x="39"/>
        <item x="0"/>
        <item x="1"/>
        <item x="16"/>
        <item x="10"/>
        <item x="8"/>
        <item x="6"/>
        <item x="5"/>
        <item x="7"/>
        <item x="4"/>
        <item x="3"/>
        <item x="22"/>
        <item x="21"/>
        <item x="20"/>
        <item x="37"/>
        <item x="35"/>
        <item x="36"/>
        <item x="31"/>
        <item x="30"/>
        <item x="29"/>
        <item x="18"/>
        <item x="33"/>
        <item x="19"/>
        <item x="27"/>
        <item x="34"/>
        <item x="17"/>
        <item x="32"/>
        <item x="28"/>
        <item x="26"/>
        <item x="15"/>
        <item x="44"/>
        <item x="13"/>
        <item x="11"/>
        <item x="12"/>
        <item x="14"/>
        <item t="default"/>
      </items>
    </pivotField>
    <pivotField dataField="1" showAll="0">
      <items count="46">
        <item x="23"/>
        <item x="24"/>
        <item x="2"/>
        <item x="25"/>
        <item x="9"/>
        <item x="43"/>
        <item x="42"/>
        <item x="38"/>
        <item x="40"/>
        <item x="41"/>
        <item x="39"/>
        <item x="0"/>
        <item x="1"/>
        <item x="16"/>
        <item x="10"/>
        <item x="8"/>
        <item x="6"/>
        <item x="5"/>
        <item x="7"/>
        <item x="4"/>
        <item x="3"/>
        <item x="37"/>
        <item x="35"/>
        <item x="22"/>
        <item x="20"/>
        <item x="21"/>
        <item x="36"/>
        <item x="31"/>
        <item x="29"/>
        <item x="30"/>
        <item x="33"/>
        <item x="18"/>
        <item x="27"/>
        <item x="34"/>
        <item x="19"/>
        <item x="17"/>
        <item x="32"/>
        <item x="28"/>
        <item x="26"/>
        <item x="15"/>
        <item x="44"/>
        <item x="13"/>
        <item x="11"/>
        <item x="12"/>
        <item x="14"/>
        <item t="default"/>
      </items>
    </pivotField>
    <pivotField dataField="1" showAll="0">
      <items count="44">
        <item x="22"/>
        <item x="2"/>
        <item x="23"/>
        <item x="9"/>
        <item x="39"/>
        <item x="40"/>
        <item x="41"/>
        <item x="36"/>
        <item x="38"/>
        <item x="37"/>
        <item x="0"/>
        <item x="1"/>
        <item x="15"/>
        <item x="10"/>
        <item x="8"/>
        <item x="6"/>
        <item x="5"/>
        <item x="7"/>
        <item x="4"/>
        <item x="3"/>
        <item x="35"/>
        <item x="33"/>
        <item x="19"/>
        <item x="21"/>
        <item x="20"/>
        <item x="34"/>
        <item x="27"/>
        <item x="29"/>
        <item x="28"/>
        <item x="31"/>
        <item x="17"/>
        <item x="25"/>
        <item x="32"/>
        <item x="18"/>
        <item x="30"/>
        <item x="16"/>
        <item x="26"/>
        <item x="24"/>
        <item x="42"/>
        <item x="14"/>
        <item x="13"/>
        <item x="11"/>
        <item x="12"/>
        <item t="default"/>
      </items>
    </pivotField>
    <pivotField axis="axisRow" showAll="0">
      <items count="18">
        <item x="0"/>
        <item x="12"/>
        <item x="11"/>
        <item x="16"/>
        <item x="15"/>
        <item x="10"/>
        <item x="1"/>
        <item x="13"/>
        <item x="6"/>
        <item x="5"/>
        <item x="14"/>
        <item x="2"/>
        <item x="8"/>
        <item x="4"/>
        <item x="3"/>
        <item x="9"/>
        <item x="7"/>
        <item t="default"/>
      </items>
    </pivotField>
  </pivotFields>
  <rowFields count="1">
    <field x="12"/>
  </rowFields>
  <rowItems count="11">
    <i>
      <x v="1"/>
    </i>
    <i>
      <x v="2"/>
    </i>
    <i>
      <x v="3"/>
    </i>
    <i>
      <x v="4"/>
    </i>
    <i>
      <x v="5"/>
    </i>
    <i>
      <x v="7"/>
    </i>
    <i>
      <x v="10"/>
    </i>
    <i>
      <x v="13"/>
    </i>
    <i>
      <x v="15"/>
    </i>
    <i>
      <x v="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item="4" hier="-1"/>
  </pageFields>
  <dataFields count="7">
    <dataField name="Suma de Linea Base" fld="5" baseField="12" baseItem="9"/>
    <dataField name="Suma de 2025 " fld="6" baseField="12" baseItem="9"/>
    <dataField name="Suma de 2026 " fld="7" baseField="12" baseItem="9"/>
    <dataField name="Suma de 2027 " fld="8" baseField="12" baseItem="9"/>
    <dataField name="Suma de 2028 " fld="9" baseField="12" baseItem="9"/>
    <dataField name="Suma de 2029 " fld="10" baseField="12" baseItem="9"/>
    <dataField name="Suma de 2030 " fld="11" baseField="12" baseItem="14"/>
  </dataFields>
  <formats count="7">
    <format dxfId="25">
      <pivotArea collapsedLevelsAreSubtotals="1" fieldPosition="0">
        <references count="1">
          <reference field="12" count="1">
            <x v="0"/>
          </reference>
        </references>
      </pivotArea>
    </format>
    <format dxfId="24">
      <pivotArea collapsedLevelsAreSubtotals="1" fieldPosition="0">
        <references count="1">
          <reference field="12" count="2">
            <x v="1"/>
            <x v="2"/>
          </reference>
        </references>
      </pivotArea>
    </format>
    <format dxfId="19">
      <pivotArea collapsedLevelsAreSubtotals="1" fieldPosition="0">
        <references count="1">
          <reference field="12" count="1">
            <x v="4"/>
          </reference>
        </references>
      </pivotArea>
    </format>
    <format dxfId="18">
      <pivotArea collapsedLevelsAreSubtotals="1" fieldPosition="0">
        <references count="1">
          <reference field="12" count="1">
            <x v="15"/>
          </reference>
        </references>
      </pivotArea>
    </format>
    <format dxfId="9">
      <pivotArea collapsedLevelsAreSubtotals="1" fieldPosition="0">
        <references count="1">
          <reference field="12" count="1">
            <x v="11"/>
          </reference>
        </references>
      </pivotArea>
    </format>
    <format dxfId="8">
      <pivotArea collapsedLevelsAreSubtotals="1" fieldPosition="0">
        <references count="1">
          <reference field="12" count="1">
            <x v="9"/>
          </reference>
        </references>
      </pivotArea>
    </format>
    <format dxfId="7">
      <pivotArea collapsedLevelsAreSubtotals="1" fieldPosition="0">
        <references count="1">
          <reference field="12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98B227-907F-4B26-84AB-D433F24BD3F4}" name="Tabla1" displayName="Tabla1" ref="A1:M70" totalsRowShown="0" headerRowDxfId="26" dataDxfId="27" tableBorderDxfId="41">
  <autoFilter ref="A1:M70" xr:uid="{249C3F47-DB30-4940-BAB2-D2E50B83B291}"/>
  <tableColumns count="13">
    <tableColumn id="1" xr3:uid="{A4AD38BC-5BD1-4178-84D0-433564CD95C2}" name="Nivel" dataDxfId="40"/>
    <tableColumn id="2" xr3:uid="{967E5D5A-8F1D-4BD7-8F7D-EDBEDCC2C9F9}" name="Frente" dataDxfId="39"/>
    <tableColumn id="3" xr3:uid="{4B07D4F7-8386-4D20-874C-89110F43A9AC}" name="Metas" dataDxfId="38"/>
    <tableColumn id="4" xr3:uid="{FDAE8C1E-5AC8-43E2-936E-E0A830E23D59}" name="Indicador" dataDxfId="37"/>
    <tableColumn id="5" xr3:uid="{558424ED-7580-4094-9DBB-40DA269B42C9}" name="Fórmula del Indicador" dataDxfId="36"/>
    <tableColumn id="6" xr3:uid="{72BA3E30-B4BA-4840-AC73-894DC101F776}" name="Linea Base" dataDxfId="35"/>
    <tableColumn id="7" xr3:uid="{4166CA57-835B-4EB0-B386-EC777A22EFB6}" name="2025 " dataDxfId="34"/>
    <tableColumn id="8" xr3:uid="{5F6A6738-3CC3-41BC-9777-50A2135BEB7F}" name="2026 " dataDxfId="33"/>
    <tableColumn id="9" xr3:uid="{9A4D3DF6-AEED-4DD6-831B-2B49E368D23A}" name="2027 " dataDxfId="32"/>
    <tableColumn id="10" xr3:uid="{1E3DAB06-71BC-478A-AC3C-FC750C6F085E}" name="2028 " dataDxfId="31"/>
    <tableColumn id="11" xr3:uid="{763DC17D-8616-44AC-A593-CEF6F19A809E}" name="2029 " dataDxfId="30"/>
    <tableColumn id="12" xr3:uid="{24C3DFA4-D906-4A51-B0BF-1886D35A42EA}" name="2030 " dataDxfId="29"/>
    <tableColumn id="13" xr3:uid="{011790BE-7470-4DC5-8E18-D13B63F414B2}" name="Nombre Corto" dataDxfId="28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3F47-DB30-4940-BAB2-D2E50B83B291}">
  <sheetPr>
    <tabColor rgb="FF00B050"/>
  </sheetPr>
  <dimension ref="A1:U70"/>
  <sheetViews>
    <sheetView zoomScaleNormal="100" workbookViewId="0">
      <pane ySplit="1" topLeftCell="A29" activePane="bottomLeft" state="frozen"/>
      <selection pane="bottomLeft" activeCell="G36" sqref="G35:G36"/>
    </sheetView>
  </sheetViews>
  <sheetFormatPr baseColWidth="10" defaultColWidth="11.42578125" defaultRowHeight="15" customHeight="1" x14ac:dyDescent="0.25"/>
  <cols>
    <col min="1" max="1" width="21.42578125" style="23" customWidth="1"/>
    <col min="2" max="2" width="36" style="23" customWidth="1"/>
    <col min="3" max="3" width="66.85546875" style="23" customWidth="1"/>
    <col min="4" max="4" width="23.140625" style="23" customWidth="1"/>
    <col min="5" max="5" width="43.5703125" style="23" customWidth="1"/>
    <col min="6" max="6" width="12" style="2" customWidth="1"/>
    <col min="7" max="7" width="10.42578125" style="2" customWidth="1"/>
    <col min="8" max="8" width="10" style="2" customWidth="1"/>
    <col min="9" max="9" width="10.5703125" style="2" customWidth="1"/>
    <col min="10" max="10" width="10.85546875" style="2" customWidth="1"/>
    <col min="11" max="12" width="10.28515625" style="2" customWidth="1"/>
    <col min="13" max="13" width="20.7109375" style="23" customWidth="1"/>
    <col min="14" max="14" width="11.7109375" style="3" bestFit="1" customWidth="1"/>
    <col min="15" max="16384" width="11.42578125" style="3"/>
  </cols>
  <sheetData>
    <row r="1" spans="1:15" s="2" customFormat="1" x14ac:dyDescent="0.25">
      <c r="A1" s="28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24" t="s">
        <v>12</v>
      </c>
      <c r="N1" s="24"/>
      <c r="O1" s="24"/>
    </row>
    <row r="2" spans="1:15" ht="42.75" x14ac:dyDescent="0.25">
      <c r="A2" s="29" t="s">
        <v>13</v>
      </c>
      <c r="B2" s="25" t="s">
        <v>14</v>
      </c>
      <c r="C2" s="25" t="s">
        <v>15</v>
      </c>
      <c r="D2" s="25" t="s">
        <v>16</v>
      </c>
      <c r="E2" s="25" t="s">
        <v>17</v>
      </c>
      <c r="F2" s="8">
        <v>0.5</v>
      </c>
      <c r="G2" s="9">
        <v>0.5</v>
      </c>
      <c r="H2" s="9">
        <v>0.5</v>
      </c>
      <c r="I2" s="9">
        <v>0.5</v>
      </c>
      <c r="J2" s="9">
        <v>0.5</v>
      </c>
      <c r="K2" s="9">
        <v>0.5</v>
      </c>
      <c r="L2" s="9">
        <v>0.5</v>
      </c>
      <c r="M2" s="25" t="s">
        <v>18</v>
      </c>
      <c r="N2" s="4"/>
      <c r="O2" s="4"/>
    </row>
    <row r="3" spans="1:15" ht="28.5" x14ac:dyDescent="0.25">
      <c r="A3" s="29" t="s">
        <v>13</v>
      </c>
      <c r="B3" s="25" t="s">
        <v>14</v>
      </c>
      <c r="C3" s="25" t="s">
        <v>19</v>
      </c>
      <c r="D3" s="25" t="s">
        <v>20</v>
      </c>
      <c r="E3" s="25" t="s">
        <v>21</v>
      </c>
      <c r="F3" s="8">
        <v>0.55000000000000004</v>
      </c>
      <c r="G3" s="9">
        <v>0.54</v>
      </c>
      <c r="H3" s="9">
        <v>0.54</v>
      </c>
      <c r="I3" s="9">
        <v>0.54</v>
      </c>
      <c r="J3" s="9">
        <v>0.54</v>
      </c>
      <c r="K3" s="9">
        <v>0.54</v>
      </c>
      <c r="L3" s="9">
        <v>0.54</v>
      </c>
      <c r="M3" s="25" t="s">
        <v>22</v>
      </c>
      <c r="N3" s="4"/>
      <c r="O3" s="4"/>
    </row>
    <row r="4" spans="1:15" ht="28.5" x14ac:dyDescent="0.25">
      <c r="A4" s="29" t="s">
        <v>13</v>
      </c>
      <c r="B4" s="25" t="s">
        <v>14</v>
      </c>
      <c r="C4" s="25" t="s">
        <v>23</v>
      </c>
      <c r="D4" s="25"/>
      <c r="E4" s="25"/>
      <c r="F4" s="9">
        <v>0.17</v>
      </c>
      <c r="G4" s="9">
        <v>0.08</v>
      </c>
      <c r="H4" s="9">
        <v>0.08</v>
      </c>
      <c r="I4" s="9">
        <v>0.09</v>
      </c>
      <c r="J4" s="9">
        <v>0.09</v>
      </c>
      <c r="K4" s="9">
        <v>0.1</v>
      </c>
      <c r="L4" s="9">
        <v>0.1</v>
      </c>
      <c r="M4" s="25" t="s">
        <v>24</v>
      </c>
      <c r="N4" s="4"/>
      <c r="O4" s="4"/>
    </row>
    <row r="5" spans="1:15" ht="42.75" x14ac:dyDescent="0.25">
      <c r="A5" s="29" t="s">
        <v>13</v>
      </c>
      <c r="B5" s="25" t="s">
        <v>25</v>
      </c>
      <c r="C5" s="25" t="s">
        <v>26</v>
      </c>
      <c r="D5" s="25" t="s">
        <v>27</v>
      </c>
      <c r="E5" s="25" t="s">
        <v>28</v>
      </c>
      <c r="F5" s="12">
        <v>145</v>
      </c>
      <c r="G5" s="12">
        <v>145</v>
      </c>
      <c r="H5" s="12">
        <v>146</v>
      </c>
      <c r="I5" s="12">
        <v>147</v>
      </c>
      <c r="J5" s="12">
        <v>148</v>
      </c>
      <c r="K5" s="12">
        <v>149</v>
      </c>
      <c r="L5" s="12">
        <v>150</v>
      </c>
      <c r="M5" s="25" t="s">
        <v>29</v>
      </c>
    </row>
    <row r="6" spans="1:15" ht="42.75" x14ac:dyDescent="0.25">
      <c r="A6" s="29" t="s">
        <v>30</v>
      </c>
      <c r="B6" s="25" t="s">
        <v>25</v>
      </c>
      <c r="C6" s="26" t="s">
        <v>31</v>
      </c>
      <c r="D6" s="25" t="s">
        <v>27</v>
      </c>
      <c r="E6" s="25" t="s">
        <v>28</v>
      </c>
      <c r="F6" s="7">
        <v>145</v>
      </c>
      <c r="G6" s="12">
        <v>145</v>
      </c>
      <c r="H6" s="12">
        <v>146</v>
      </c>
      <c r="I6" s="12">
        <v>147</v>
      </c>
      <c r="J6" s="12">
        <v>148</v>
      </c>
      <c r="K6" s="12">
        <v>149</v>
      </c>
      <c r="L6" s="12">
        <v>150</v>
      </c>
      <c r="M6" s="25" t="s">
        <v>29</v>
      </c>
      <c r="N6" s="4"/>
      <c r="O6" s="4"/>
    </row>
    <row r="7" spans="1:15" ht="42.75" x14ac:dyDescent="0.25">
      <c r="A7" s="29" t="s">
        <v>32</v>
      </c>
      <c r="B7" s="25" t="s">
        <v>25</v>
      </c>
      <c r="C7" s="25" t="s">
        <v>26</v>
      </c>
      <c r="D7" s="25" t="s">
        <v>27</v>
      </c>
      <c r="E7" s="25" t="s">
        <v>28</v>
      </c>
      <c r="F7" s="12">
        <v>139</v>
      </c>
      <c r="G7" s="12">
        <v>139</v>
      </c>
      <c r="H7" s="12">
        <v>140</v>
      </c>
      <c r="I7" s="12">
        <v>141</v>
      </c>
      <c r="J7" s="12">
        <v>142</v>
      </c>
      <c r="K7" s="12">
        <v>142</v>
      </c>
      <c r="L7" s="12">
        <v>143</v>
      </c>
      <c r="M7" s="25" t="s">
        <v>29</v>
      </c>
      <c r="N7" s="4"/>
      <c r="O7" s="4"/>
    </row>
    <row r="8" spans="1:15" ht="42.75" x14ac:dyDescent="0.25">
      <c r="A8" s="29" t="s">
        <v>13</v>
      </c>
      <c r="B8" s="25" t="s">
        <v>25</v>
      </c>
      <c r="C8" s="25" t="s">
        <v>33</v>
      </c>
      <c r="D8" s="25" t="s">
        <v>34</v>
      </c>
      <c r="E8" s="25" t="s">
        <v>35</v>
      </c>
      <c r="F8" s="12">
        <v>134</v>
      </c>
      <c r="G8" s="12">
        <v>134</v>
      </c>
      <c r="H8" s="12">
        <v>135</v>
      </c>
      <c r="I8" s="12">
        <v>135</v>
      </c>
      <c r="J8" s="12">
        <v>136</v>
      </c>
      <c r="K8" s="12">
        <v>136</v>
      </c>
      <c r="L8" s="12">
        <v>137</v>
      </c>
      <c r="M8" s="25" t="s">
        <v>36</v>
      </c>
      <c r="N8" s="4"/>
      <c r="O8" s="4"/>
    </row>
    <row r="9" spans="1:15" ht="42.75" x14ac:dyDescent="0.25">
      <c r="A9" s="29" t="s">
        <v>37</v>
      </c>
      <c r="B9" s="25" t="s">
        <v>25</v>
      </c>
      <c r="C9" s="25" t="s">
        <v>38</v>
      </c>
      <c r="D9" s="25" t="s">
        <v>34</v>
      </c>
      <c r="E9" s="25" t="s">
        <v>35</v>
      </c>
      <c r="F9" s="12">
        <v>133</v>
      </c>
      <c r="G9" s="12">
        <v>133</v>
      </c>
      <c r="H9" s="12">
        <v>134</v>
      </c>
      <c r="I9" s="12">
        <v>134</v>
      </c>
      <c r="J9" s="12">
        <v>135</v>
      </c>
      <c r="K9" s="12">
        <v>135</v>
      </c>
      <c r="L9" s="12">
        <v>136</v>
      </c>
      <c r="M9" s="25" t="s">
        <v>36</v>
      </c>
      <c r="N9" s="4"/>
      <c r="O9" s="4"/>
    </row>
    <row r="10" spans="1:15" ht="42.75" x14ac:dyDescent="0.25">
      <c r="A10" s="29" t="s">
        <v>30</v>
      </c>
      <c r="B10" s="25" t="s">
        <v>25</v>
      </c>
      <c r="C10" s="26" t="s">
        <v>39</v>
      </c>
      <c r="D10" s="25" t="s">
        <v>34</v>
      </c>
      <c r="E10" s="25" t="s">
        <v>35</v>
      </c>
      <c r="F10" s="12">
        <v>135</v>
      </c>
      <c r="G10" s="12">
        <v>135</v>
      </c>
      <c r="H10" s="12">
        <v>136</v>
      </c>
      <c r="I10" s="12">
        <v>136</v>
      </c>
      <c r="J10" s="12">
        <v>137</v>
      </c>
      <c r="K10" s="12">
        <v>137</v>
      </c>
      <c r="L10" s="12">
        <v>138</v>
      </c>
      <c r="M10" s="25" t="s">
        <v>36</v>
      </c>
      <c r="N10" s="4"/>
      <c r="O10" s="4"/>
    </row>
    <row r="11" spans="1:15" ht="42.75" x14ac:dyDescent="0.25">
      <c r="A11" s="29" t="s">
        <v>40</v>
      </c>
      <c r="B11" s="25" t="s">
        <v>25</v>
      </c>
      <c r="C11" s="25" t="s">
        <v>41</v>
      </c>
      <c r="D11" s="25" t="s">
        <v>34</v>
      </c>
      <c r="E11" s="25" t="s">
        <v>35</v>
      </c>
      <c r="F11" s="12">
        <v>134</v>
      </c>
      <c r="G11" s="12">
        <v>134</v>
      </c>
      <c r="H11" s="12">
        <v>135</v>
      </c>
      <c r="I11" s="12">
        <v>135</v>
      </c>
      <c r="J11" s="12">
        <v>136</v>
      </c>
      <c r="K11" s="12">
        <v>136</v>
      </c>
      <c r="L11" s="12">
        <v>137</v>
      </c>
      <c r="M11" s="25" t="s">
        <v>36</v>
      </c>
      <c r="N11" s="4"/>
      <c r="O11" s="4"/>
    </row>
    <row r="12" spans="1:15" ht="42.75" x14ac:dyDescent="0.25">
      <c r="A12" s="29" t="s">
        <v>32</v>
      </c>
      <c r="B12" s="25" t="s">
        <v>25</v>
      </c>
      <c r="C12" s="25" t="s">
        <v>41</v>
      </c>
      <c r="D12" s="25" t="s">
        <v>34</v>
      </c>
      <c r="E12" s="25" t="s">
        <v>35</v>
      </c>
      <c r="F12" s="12">
        <v>134</v>
      </c>
      <c r="G12" s="12">
        <v>134</v>
      </c>
      <c r="H12" s="12">
        <v>135</v>
      </c>
      <c r="I12" s="12">
        <v>135</v>
      </c>
      <c r="J12" s="12">
        <v>136</v>
      </c>
      <c r="K12" s="12">
        <v>136</v>
      </c>
      <c r="L12" s="12">
        <v>137</v>
      </c>
      <c r="M12" s="25" t="s">
        <v>36</v>
      </c>
      <c r="N12" s="4"/>
      <c r="O12" s="4"/>
    </row>
    <row r="13" spans="1:15" ht="42.75" x14ac:dyDescent="0.25">
      <c r="A13" s="29" t="s">
        <v>42</v>
      </c>
      <c r="B13" s="25" t="s">
        <v>25</v>
      </c>
      <c r="C13" s="25" t="s">
        <v>41</v>
      </c>
      <c r="D13" s="25" t="s">
        <v>34</v>
      </c>
      <c r="E13" s="25" t="s">
        <v>35</v>
      </c>
      <c r="F13" s="12">
        <v>131</v>
      </c>
      <c r="G13" s="12">
        <v>131</v>
      </c>
      <c r="H13" s="12">
        <v>132</v>
      </c>
      <c r="I13" s="12">
        <v>132</v>
      </c>
      <c r="J13" s="12">
        <v>133</v>
      </c>
      <c r="K13" s="12">
        <v>133</v>
      </c>
      <c r="L13" s="12">
        <v>134</v>
      </c>
      <c r="M13" s="25" t="s">
        <v>36</v>
      </c>
      <c r="N13" s="4"/>
      <c r="O13" s="4"/>
    </row>
    <row r="14" spans="1:15" ht="42.75" x14ac:dyDescent="0.25">
      <c r="A14" s="29" t="s">
        <v>13</v>
      </c>
      <c r="B14" s="25" t="s">
        <v>43</v>
      </c>
      <c r="C14" s="25" t="s">
        <v>44</v>
      </c>
      <c r="D14" s="25" t="s">
        <v>45</v>
      </c>
      <c r="E14" s="25" t="s">
        <v>46</v>
      </c>
      <c r="F14" s="13">
        <v>0.125</v>
      </c>
      <c r="G14" s="9">
        <v>0.14000000000000001</v>
      </c>
      <c r="H14" s="9">
        <v>0.14000000000000001</v>
      </c>
      <c r="I14" s="9">
        <v>0.15</v>
      </c>
      <c r="J14" s="9">
        <v>0.15</v>
      </c>
      <c r="K14" s="9">
        <v>0.16</v>
      </c>
      <c r="L14" s="9">
        <v>0.16</v>
      </c>
      <c r="M14" s="25" t="s">
        <v>47</v>
      </c>
    </row>
    <row r="15" spans="1:15" ht="42.75" x14ac:dyDescent="0.25">
      <c r="A15" s="29" t="s">
        <v>13</v>
      </c>
      <c r="B15" s="25" t="s">
        <v>43</v>
      </c>
      <c r="C15" s="25" t="s">
        <v>48</v>
      </c>
      <c r="D15" s="25" t="s">
        <v>49</v>
      </c>
      <c r="E15" s="25" t="s">
        <v>50</v>
      </c>
      <c r="F15" s="7">
        <v>5</v>
      </c>
      <c r="G15" s="10">
        <v>5</v>
      </c>
      <c r="H15" s="10">
        <v>6</v>
      </c>
      <c r="I15" s="10">
        <v>6</v>
      </c>
      <c r="J15" s="10">
        <v>7</v>
      </c>
      <c r="K15" s="10">
        <v>7</v>
      </c>
      <c r="L15" s="10">
        <v>8</v>
      </c>
      <c r="M15" s="25" t="s">
        <v>51</v>
      </c>
    </row>
    <row r="16" spans="1:15" ht="67.5" x14ac:dyDescent="0.25">
      <c r="A16" s="29" t="s">
        <v>13</v>
      </c>
      <c r="B16" s="25" t="s">
        <v>52</v>
      </c>
      <c r="C16" s="25" t="s">
        <v>53</v>
      </c>
      <c r="D16" s="25"/>
      <c r="E16" s="25"/>
      <c r="F16" s="10" t="s">
        <v>54</v>
      </c>
      <c r="G16" s="10" t="s">
        <v>54</v>
      </c>
      <c r="H16" s="10" t="s">
        <v>55</v>
      </c>
      <c r="I16" s="10" t="s">
        <v>55</v>
      </c>
      <c r="J16" s="10" t="s">
        <v>56</v>
      </c>
      <c r="K16" s="10" t="s">
        <v>57</v>
      </c>
      <c r="L16" s="10" t="s">
        <v>58</v>
      </c>
      <c r="M16" s="25" t="s">
        <v>59</v>
      </c>
    </row>
    <row r="17" spans="1:13" ht="42.75" x14ac:dyDescent="0.25">
      <c r="A17" s="29" t="s">
        <v>37</v>
      </c>
      <c r="B17" s="25" t="s">
        <v>52</v>
      </c>
      <c r="C17" s="25" t="s">
        <v>60</v>
      </c>
      <c r="D17" s="25" t="s">
        <v>61</v>
      </c>
      <c r="E17" s="25" t="s">
        <v>62</v>
      </c>
      <c r="F17" s="10" t="s">
        <v>63</v>
      </c>
      <c r="G17" s="10" t="s">
        <v>63</v>
      </c>
      <c r="H17" s="10" t="s">
        <v>63</v>
      </c>
      <c r="I17" s="10" t="s">
        <v>63</v>
      </c>
      <c r="J17" s="10" t="s">
        <v>64</v>
      </c>
      <c r="K17" s="10" t="s">
        <v>64</v>
      </c>
      <c r="L17" s="10" t="s">
        <v>64</v>
      </c>
      <c r="M17" s="25" t="s">
        <v>59</v>
      </c>
    </row>
    <row r="18" spans="1:13" ht="42.75" x14ac:dyDescent="0.25">
      <c r="A18" s="29" t="s">
        <v>30</v>
      </c>
      <c r="B18" s="25" t="s">
        <v>52</v>
      </c>
      <c r="C18" s="25" t="s">
        <v>60</v>
      </c>
      <c r="D18" s="25" t="s">
        <v>61</v>
      </c>
      <c r="E18" s="25" t="s">
        <v>62</v>
      </c>
      <c r="F18" s="10" t="s">
        <v>65</v>
      </c>
      <c r="G18" s="10" t="s">
        <v>65</v>
      </c>
      <c r="H18" s="10" t="s">
        <v>65</v>
      </c>
      <c r="I18" s="10" t="s">
        <v>65</v>
      </c>
      <c r="J18" s="10" t="s">
        <v>65</v>
      </c>
      <c r="K18" s="10" t="s">
        <v>65</v>
      </c>
      <c r="L18" s="10" t="s">
        <v>65</v>
      </c>
      <c r="M18" s="25" t="s">
        <v>59</v>
      </c>
    </row>
    <row r="19" spans="1:13" ht="42.75" x14ac:dyDescent="0.25">
      <c r="A19" s="29" t="s">
        <v>40</v>
      </c>
      <c r="B19" s="25" t="s">
        <v>52</v>
      </c>
      <c r="C19" s="25" t="s">
        <v>60</v>
      </c>
      <c r="D19" s="25" t="s">
        <v>61</v>
      </c>
      <c r="E19" s="25" t="s">
        <v>62</v>
      </c>
      <c r="F19" s="10" t="s">
        <v>63</v>
      </c>
      <c r="G19" s="10" t="s">
        <v>63</v>
      </c>
      <c r="H19" s="10" t="s">
        <v>63</v>
      </c>
      <c r="I19" s="10" t="s">
        <v>63</v>
      </c>
      <c r="J19" s="10" t="s">
        <v>63</v>
      </c>
      <c r="K19" s="10" t="s">
        <v>63</v>
      </c>
      <c r="L19" s="10" t="s">
        <v>64</v>
      </c>
      <c r="M19" s="25" t="s">
        <v>59</v>
      </c>
    </row>
    <row r="20" spans="1:13" ht="42.75" x14ac:dyDescent="0.25">
      <c r="A20" s="29" t="s">
        <v>32</v>
      </c>
      <c r="B20" s="25" t="s">
        <v>52</v>
      </c>
      <c r="C20" s="25" t="s">
        <v>60</v>
      </c>
      <c r="D20" s="25" t="s">
        <v>61</v>
      </c>
      <c r="E20" s="25" t="s">
        <v>62</v>
      </c>
      <c r="F20" s="10" t="s">
        <v>63</v>
      </c>
      <c r="G20" s="10" t="s">
        <v>63</v>
      </c>
      <c r="H20" s="10" t="s">
        <v>63</v>
      </c>
      <c r="I20" s="10" t="s">
        <v>63</v>
      </c>
      <c r="J20" s="10" t="s">
        <v>63</v>
      </c>
      <c r="K20" s="10" t="s">
        <v>64</v>
      </c>
      <c r="L20" s="10" t="s">
        <v>64</v>
      </c>
      <c r="M20" s="25" t="s">
        <v>59</v>
      </c>
    </row>
    <row r="21" spans="1:13" ht="42.75" x14ac:dyDescent="0.25">
      <c r="A21" s="29" t="s">
        <v>42</v>
      </c>
      <c r="B21" s="25" t="s">
        <v>52</v>
      </c>
      <c r="C21" s="25" t="s">
        <v>60</v>
      </c>
      <c r="D21" s="25" t="s">
        <v>61</v>
      </c>
      <c r="E21" s="25" t="s">
        <v>62</v>
      </c>
      <c r="F21" s="10" t="s">
        <v>63</v>
      </c>
      <c r="G21" s="10" t="s">
        <v>63</v>
      </c>
      <c r="H21" s="10" t="s">
        <v>63</v>
      </c>
      <c r="I21" s="10" t="s">
        <v>63</v>
      </c>
      <c r="J21" s="10" t="s">
        <v>63</v>
      </c>
      <c r="K21" s="10" t="s">
        <v>63</v>
      </c>
      <c r="L21" s="10" t="s">
        <v>64</v>
      </c>
      <c r="M21" s="25" t="s">
        <v>59</v>
      </c>
    </row>
    <row r="22" spans="1:13" ht="42.75" x14ac:dyDescent="0.25">
      <c r="A22" s="29" t="s">
        <v>13</v>
      </c>
      <c r="B22" s="25" t="s">
        <v>52</v>
      </c>
      <c r="C22" s="26" t="s">
        <v>66</v>
      </c>
      <c r="D22" s="25"/>
      <c r="E22" s="25"/>
      <c r="F22" s="7" t="s">
        <v>67</v>
      </c>
      <c r="G22" s="7" t="s">
        <v>68</v>
      </c>
      <c r="H22" s="7" t="s">
        <v>69</v>
      </c>
      <c r="I22" s="7" t="s">
        <v>70</v>
      </c>
      <c r="J22" s="7" t="s">
        <v>71</v>
      </c>
      <c r="K22" s="7" t="s">
        <v>72</v>
      </c>
      <c r="L22" s="7" t="s">
        <v>73</v>
      </c>
      <c r="M22" s="25" t="s">
        <v>74</v>
      </c>
    </row>
    <row r="23" spans="1:13" ht="28.5" x14ac:dyDescent="0.25">
      <c r="A23" s="29" t="s">
        <v>13</v>
      </c>
      <c r="B23" s="25" t="s">
        <v>75</v>
      </c>
      <c r="C23" s="27" t="s">
        <v>76</v>
      </c>
      <c r="D23" s="25" t="s">
        <v>77</v>
      </c>
      <c r="E23" s="25" t="s">
        <v>78</v>
      </c>
      <c r="F23" s="7">
        <v>0</v>
      </c>
      <c r="G23" s="14">
        <v>0.57999999999999996</v>
      </c>
      <c r="H23" s="14">
        <v>0.6</v>
      </c>
      <c r="I23" s="14">
        <v>0.62</v>
      </c>
      <c r="J23" s="14">
        <v>0.64</v>
      </c>
      <c r="K23" s="14">
        <v>0.66</v>
      </c>
      <c r="L23" s="14">
        <v>0.68</v>
      </c>
      <c r="M23" s="25" t="s">
        <v>79</v>
      </c>
    </row>
    <row r="24" spans="1:13" ht="28.5" x14ac:dyDescent="0.25">
      <c r="A24" s="29" t="s">
        <v>37</v>
      </c>
      <c r="B24" s="25" t="s">
        <v>75</v>
      </c>
      <c r="C24" s="27" t="s">
        <v>76</v>
      </c>
      <c r="D24" s="25" t="s">
        <v>77</v>
      </c>
      <c r="E24" s="25" t="s">
        <v>78</v>
      </c>
      <c r="F24" s="7">
        <v>0</v>
      </c>
      <c r="G24" s="14">
        <v>0.57999999999999996</v>
      </c>
      <c r="H24" s="14">
        <v>0.6</v>
      </c>
      <c r="I24" s="14">
        <v>0.62</v>
      </c>
      <c r="J24" s="14">
        <v>0.64</v>
      </c>
      <c r="K24" s="14">
        <v>0.66</v>
      </c>
      <c r="L24" s="14">
        <v>0.68</v>
      </c>
      <c r="M24" s="25" t="s">
        <v>79</v>
      </c>
    </row>
    <row r="25" spans="1:13" ht="28.5" x14ac:dyDescent="0.25">
      <c r="A25" s="29" t="s">
        <v>30</v>
      </c>
      <c r="B25" s="25" t="s">
        <v>75</v>
      </c>
      <c r="C25" s="27" t="s">
        <v>76</v>
      </c>
      <c r="D25" s="25" t="s">
        <v>77</v>
      </c>
      <c r="E25" s="25" t="s">
        <v>78</v>
      </c>
      <c r="F25" s="7">
        <v>0</v>
      </c>
      <c r="G25" s="14">
        <v>0.57999999999999996</v>
      </c>
      <c r="H25" s="14">
        <v>0.6</v>
      </c>
      <c r="I25" s="14">
        <v>0.62</v>
      </c>
      <c r="J25" s="14">
        <v>0.64</v>
      </c>
      <c r="K25" s="14">
        <v>0.66</v>
      </c>
      <c r="L25" s="14">
        <v>0.68</v>
      </c>
      <c r="M25" s="25" t="s">
        <v>79</v>
      </c>
    </row>
    <row r="26" spans="1:13" ht="28.5" x14ac:dyDescent="0.25">
      <c r="A26" s="29" t="s">
        <v>40</v>
      </c>
      <c r="B26" s="25" t="s">
        <v>75</v>
      </c>
      <c r="C26" s="27" t="s">
        <v>76</v>
      </c>
      <c r="D26" s="25" t="s">
        <v>77</v>
      </c>
      <c r="E26" s="25" t="s">
        <v>78</v>
      </c>
      <c r="F26" s="7">
        <v>0</v>
      </c>
      <c r="G26" s="14">
        <v>0.57999999999999996</v>
      </c>
      <c r="H26" s="14">
        <v>0.6</v>
      </c>
      <c r="I26" s="14">
        <v>0.62</v>
      </c>
      <c r="J26" s="14">
        <v>0.64</v>
      </c>
      <c r="K26" s="14">
        <v>0.66</v>
      </c>
      <c r="L26" s="14">
        <v>0.68</v>
      </c>
      <c r="M26" s="25" t="s">
        <v>79</v>
      </c>
    </row>
    <row r="27" spans="1:13" ht="28.5" x14ac:dyDescent="0.25">
      <c r="A27" s="29" t="s">
        <v>32</v>
      </c>
      <c r="B27" s="25" t="s">
        <v>75</v>
      </c>
      <c r="C27" s="27" t="s">
        <v>76</v>
      </c>
      <c r="D27" s="25" t="s">
        <v>77</v>
      </c>
      <c r="E27" s="25" t="s">
        <v>78</v>
      </c>
      <c r="F27" s="7">
        <v>0</v>
      </c>
      <c r="G27" s="14">
        <v>0.57999999999999996</v>
      </c>
      <c r="H27" s="14">
        <v>0.6</v>
      </c>
      <c r="I27" s="14">
        <v>0.62</v>
      </c>
      <c r="J27" s="14">
        <v>0.64</v>
      </c>
      <c r="K27" s="14">
        <v>0.66</v>
      </c>
      <c r="L27" s="14">
        <v>0.68</v>
      </c>
      <c r="M27" s="25" t="s">
        <v>79</v>
      </c>
    </row>
    <row r="28" spans="1:13" ht="28.5" x14ac:dyDescent="0.25">
      <c r="A28" s="29" t="s">
        <v>42</v>
      </c>
      <c r="B28" s="25" t="s">
        <v>75</v>
      </c>
      <c r="C28" s="27" t="s">
        <v>76</v>
      </c>
      <c r="D28" s="25" t="s">
        <v>77</v>
      </c>
      <c r="E28" s="25" t="s">
        <v>78</v>
      </c>
      <c r="F28" s="7">
        <v>0</v>
      </c>
      <c r="G28" s="14">
        <v>0.57999999999999996</v>
      </c>
      <c r="H28" s="14">
        <v>0.6</v>
      </c>
      <c r="I28" s="14">
        <v>0.62</v>
      </c>
      <c r="J28" s="14">
        <v>0.64</v>
      </c>
      <c r="K28" s="14">
        <v>0.66</v>
      </c>
      <c r="L28" s="14">
        <v>0.68</v>
      </c>
      <c r="M28" s="25" t="s">
        <v>79</v>
      </c>
    </row>
    <row r="29" spans="1:13" ht="57" x14ac:dyDescent="0.25">
      <c r="A29" s="29" t="s">
        <v>13</v>
      </c>
      <c r="B29" s="25" t="s">
        <v>75</v>
      </c>
      <c r="C29" s="25" t="s">
        <v>80</v>
      </c>
      <c r="D29" s="25" t="s">
        <v>81</v>
      </c>
      <c r="E29" s="25" t="s">
        <v>82</v>
      </c>
      <c r="F29" s="15">
        <v>0</v>
      </c>
      <c r="G29" s="16">
        <f>SUM(G30:G34)</f>
        <v>1209.3499999999999</v>
      </c>
      <c r="H29" s="16">
        <f t="shared" ref="H29:L29" si="0">SUM(H30:H34)</f>
        <v>2626.2000000000003</v>
      </c>
      <c r="I29" s="16">
        <f t="shared" si="0"/>
        <v>5109.2</v>
      </c>
      <c r="J29" s="16">
        <f t="shared" si="0"/>
        <v>8529.2999999999993</v>
      </c>
      <c r="K29" s="16">
        <f t="shared" si="0"/>
        <v>12309.6</v>
      </c>
      <c r="L29" s="16">
        <f t="shared" si="0"/>
        <v>16375</v>
      </c>
      <c r="M29" s="25" t="s">
        <v>83</v>
      </c>
    </row>
    <row r="30" spans="1:13" ht="57" x14ac:dyDescent="0.25">
      <c r="A30" s="29" t="s">
        <v>37</v>
      </c>
      <c r="B30" s="25" t="s">
        <v>75</v>
      </c>
      <c r="C30" s="25" t="s">
        <v>80</v>
      </c>
      <c r="D30" s="25" t="s">
        <v>81</v>
      </c>
      <c r="E30" s="25" t="s">
        <v>82</v>
      </c>
      <c r="F30" s="17">
        <v>0</v>
      </c>
      <c r="G30" s="18">
        <f>G48*5%</f>
        <v>111.35000000000001</v>
      </c>
      <c r="H30" s="18">
        <f>H48*10%</f>
        <v>400.70000000000005</v>
      </c>
      <c r="I30" s="18">
        <f>I48*20%</f>
        <v>1031.4000000000001</v>
      </c>
      <c r="J30" s="18">
        <f>J48*30%</f>
        <v>1772.3999999999999</v>
      </c>
      <c r="K30" s="18">
        <f>K48*40%</f>
        <v>2571.6000000000004</v>
      </c>
      <c r="L30" s="18">
        <f>L48/2</f>
        <v>3351</v>
      </c>
      <c r="M30" s="25" t="s">
        <v>83</v>
      </c>
    </row>
    <row r="31" spans="1:13" ht="57" x14ac:dyDescent="0.25">
      <c r="A31" s="29" t="s">
        <v>30</v>
      </c>
      <c r="B31" s="25" t="s">
        <v>75</v>
      </c>
      <c r="C31" s="25" t="s">
        <v>80</v>
      </c>
      <c r="D31" s="25" t="s">
        <v>81</v>
      </c>
      <c r="E31" s="25" t="s">
        <v>82</v>
      </c>
      <c r="F31" s="17">
        <v>0</v>
      </c>
      <c r="G31" s="18">
        <f>G49*5%</f>
        <v>912.2</v>
      </c>
      <c r="H31" s="18">
        <f>H49*10%</f>
        <v>1897.7</v>
      </c>
      <c r="I31" s="18">
        <f>I49*20%</f>
        <v>3508.6000000000004</v>
      </c>
      <c r="J31" s="18">
        <f>J49*30%</f>
        <v>5405.0999999999995</v>
      </c>
      <c r="K31" s="18">
        <f>K49*40%</f>
        <v>7427.2000000000007</v>
      </c>
      <c r="L31" s="18">
        <f>L49/2</f>
        <v>9645.5</v>
      </c>
      <c r="M31" s="25" t="s">
        <v>83</v>
      </c>
    </row>
    <row r="32" spans="1:13" ht="57" x14ac:dyDescent="0.25">
      <c r="A32" s="29" t="s">
        <v>40</v>
      </c>
      <c r="B32" s="25" t="s">
        <v>75</v>
      </c>
      <c r="C32" s="25" t="s">
        <v>80</v>
      </c>
      <c r="D32" s="25" t="s">
        <v>81</v>
      </c>
      <c r="E32" s="25" t="s">
        <v>82</v>
      </c>
      <c r="F32" s="17">
        <v>0</v>
      </c>
      <c r="G32" s="18">
        <f>G50*5%</f>
        <v>65.350000000000009</v>
      </c>
      <c r="H32" s="18">
        <f>H50*10%</f>
        <v>131.20000000000002</v>
      </c>
      <c r="I32" s="18">
        <f>I50*20%</f>
        <v>246</v>
      </c>
      <c r="J32" s="18">
        <f>J50*30%</f>
        <v>490.79999999999995</v>
      </c>
      <c r="K32" s="18">
        <f>K50*40%</f>
        <v>760.80000000000007</v>
      </c>
      <c r="L32" s="18">
        <f>L50/2</f>
        <v>1071.5</v>
      </c>
      <c r="M32" s="25" t="s">
        <v>83</v>
      </c>
    </row>
    <row r="33" spans="1:21" ht="57" x14ac:dyDescent="0.25">
      <c r="A33" s="29" t="s">
        <v>32</v>
      </c>
      <c r="B33" s="25" t="s">
        <v>75</v>
      </c>
      <c r="C33" s="25" t="s">
        <v>80</v>
      </c>
      <c r="D33" s="25" t="s">
        <v>81</v>
      </c>
      <c r="E33" s="25" t="s">
        <v>82</v>
      </c>
      <c r="F33" s="17">
        <v>0</v>
      </c>
      <c r="G33" s="18">
        <f>G51*5%</f>
        <v>89.850000000000009</v>
      </c>
      <c r="H33" s="18">
        <f>H51*10%</f>
        <v>165.8</v>
      </c>
      <c r="I33" s="18">
        <f>I51*20%</f>
        <v>201.8</v>
      </c>
      <c r="J33" s="18">
        <f>J51*30%</f>
        <v>481.79999999999995</v>
      </c>
      <c r="K33" s="18">
        <f>K51*40%</f>
        <v>832.40000000000009</v>
      </c>
      <c r="L33" s="18">
        <f>L51/2</f>
        <v>1230</v>
      </c>
      <c r="M33" s="25" t="s">
        <v>83</v>
      </c>
    </row>
    <row r="34" spans="1:21" ht="57" x14ac:dyDescent="0.25">
      <c r="A34" s="29" t="s">
        <v>42</v>
      </c>
      <c r="B34" s="25" t="s">
        <v>75</v>
      </c>
      <c r="C34" s="25" t="s">
        <v>80</v>
      </c>
      <c r="D34" s="25" t="s">
        <v>81</v>
      </c>
      <c r="E34" s="25" t="s">
        <v>82</v>
      </c>
      <c r="F34" s="17">
        <v>0</v>
      </c>
      <c r="G34" s="18">
        <f>G52*5%</f>
        <v>30.6</v>
      </c>
      <c r="H34" s="18">
        <f>H52*10%</f>
        <v>30.8</v>
      </c>
      <c r="I34" s="18">
        <f>I52*20%</f>
        <v>121.4</v>
      </c>
      <c r="J34" s="18">
        <f>J52*30%</f>
        <v>379.2</v>
      </c>
      <c r="K34" s="18">
        <f>K52*40%</f>
        <v>717.6</v>
      </c>
      <c r="L34" s="18">
        <f>L52/2</f>
        <v>1077</v>
      </c>
      <c r="M34" s="25" t="s">
        <v>83</v>
      </c>
    </row>
    <row r="35" spans="1:21" ht="42" x14ac:dyDescent="0.25">
      <c r="A35" s="29" t="s">
        <v>13</v>
      </c>
      <c r="B35" s="25" t="s">
        <v>75</v>
      </c>
      <c r="C35" s="25" t="s">
        <v>84</v>
      </c>
      <c r="D35" s="25" t="s">
        <v>85</v>
      </c>
      <c r="E35" s="25" t="s">
        <v>86</v>
      </c>
      <c r="F35" s="9">
        <v>9.9599999999999994E-2</v>
      </c>
      <c r="G35" s="9">
        <v>0.09</v>
      </c>
      <c r="H35" s="9">
        <v>0.09</v>
      </c>
      <c r="I35" s="9">
        <v>0.08</v>
      </c>
      <c r="J35" s="9">
        <v>0.08</v>
      </c>
      <c r="K35" s="9">
        <v>0.08</v>
      </c>
      <c r="L35" s="9">
        <v>0.08</v>
      </c>
      <c r="M35" s="25" t="s">
        <v>87</v>
      </c>
    </row>
    <row r="36" spans="1:21" ht="42" x14ac:dyDescent="0.25">
      <c r="A36" s="29" t="s">
        <v>37</v>
      </c>
      <c r="B36" s="25" t="s">
        <v>75</v>
      </c>
      <c r="C36" s="25" t="s">
        <v>88</v>
      </c>
      <c r="D36" s="25" t="s">
        <v>85</v>
      </c>
      <c r="E36" s="25" t="s">
        <v>86</v>
      </c>
      <c r="F36" s="9">
        <v>0</v>
      </c>
      <c r="G36" s="9">
        <v>0.09</v>
      </c>
      <c r="H36" s="9">
        <v>0.09</v>
      </c>
      <c r="I36" s="9">
        <v>0.08</v>
      </c>
      <c r="J36" s="9">
        <v>0.08</v>
      </c>
      <c r="K36" s="9">
        <v>0.08</v>
      </c>
      <c r="L36" s="9">
        <v>0.08</v>
      </c>
      <c r="M36" s="25" t="s">
        <v>87</v>
      </c>
    </row>
    <row r="37" spans="1:21" ht="42" x14ac:dyDescent="0.25">
      <c r="A37" s="29" t="s">
        <v>30</v>
      </c>
      <c r="B37" s="25" t="s">
        <v>75</v>
      </c>
      <c r="C37" s="26" t="s">
        <v>89</v>
      </c>
      <c r="D37" s="25" t="s">
        <v>85</v>
      </c>
      <c r="E37" s="25" t="s">
        <v>86</v>
      </c>
      <c r="F37" s="9">
        <v>0.10150000000000001</v>
      </c>
      <c r="G37" s="9">
        <v>0.09</v>
      </c>
      <c r="H37" s="9">
        <v>0.09</v>
      </c>
      <c r="I37" s="9">
        <v>0.09</v>
      </c>
      <c r="J37" s="9">
        <v>0.09</v>
      </c>
      <c r="K37" s="9">
        <v>0.08</v>
      </c>
      <c r="L37" s="9">
        <v>0.08</v>
      </c>
      <c r="M37" s="25" t="s">
        <v>87</v>
      </c>
    </row>
    <row r="38" spans="1:21" ht="42" x14ac:dyDescent="0.25">
      <c r="A38" s="29" t="s">
        <v>40</v>
      </c>
      <c r="B38" s="25" t="s">
        <v>75</v>
      </c>
      <c r="C38" s="25" t="s">
        <v>88</v>
      </c>
      <c r="D38" s="25" t="s">
        <v>85</v>
      </c>
      <c r="E38" s="25" t="s">
        <v>86</v>
      </c>
      <c r="F38" s="9">
        <v>6.8199999999999997E-2</v>
      </c>
      <c r="G38" s="9">
        <v>0.09</v>
      </c>
      <c r="H38" s="9">
        <v>0.08</v>
      </c>
      <c r="I38" s="9">
        <v>0.08</v>
      </c>
      <c r="J38" s="9">
        <v>0.08</v>
      </c>
      <c r="K38" s="9">
        <v>0.08</v>
      </c>
      <c r="L38" s="9">
        <v>0.08</v>
      </c>
      <c r="M38" s="25" t="s">
        <v>87</v>
      </c>
    </row>
    <row r="39" spans="1:21" ht="42" x14ac:dyDescent="0.25">
      <c r="A39" s="29" t="s">
        <v>42</v>
      </c>
      <c r="B39" s="25" t="s">
        <v>75</v>
      </c>
      <c r="C39" s="25" t="s">
        <v>88</v>
      </c>
      <c r="D39" s="25" t="s">
        <v>85</v>
      </c>
      <c r="E39" s="25" t="s">
        <v>86</v>
      </c>
      <c r="F39" s="9">
        <v>0</v>
      </c>
      <c r="G39" s="9">
        <v>0</v>
      </c>
      <c r="H39" s="9">
        <v>0</v>
      </c>
      <c r="I39" s="9">
        <v>0.08</v>
      </c>
      <c r="J39" s="9">
        <v>0.08</v>
      </c>
      <c r="K39" s="9">
        <v>0.08</v>
      </c>
      <c r="L39" s="9">
        <v>0.08</v>
      </c>
      <c r="M39" s="25" t="s">
        <v>87</v>
      </c>
    </row>
    <row r="40" spans="1:21" ht="42" x14ac:dyDescent="0.25">
      <c r="A40" s="29" t="s">
        <v>32</v>
      </c>
      <c r="B40" s="25" t="s">
        <v>75</v>
      </c>
      <c r="C40" s="25" t="s">
        <v>88</v>
      </c>
      <c r="D40" s="25" t="s">
        <v>85</v>
      </c>
      <c r="E40" s="25" t="s">
        <v>86</v>
      </c>
      <c r="F40" s="9">
        <v>0.09</v>
      </c>
      <c r="G40" s="9">
        <v>0.09</v>
      </c>
      <c r="H40" s="9">
        <v>0.09</v>
      </c>
      <c r="I40" s="9">
        <v>0.08</v>
      </c>
      <c r="J40" s="9">
        <v>0.08</v>
      </c>
      <c r="K40" s="9">
        <v>0.08</v>
      </c>
      <c r="L40" s="9">
        <v>0.08</v>
      </c>
      <c r="M40" s="25" t="s">
        <v>87</v>
      </c>
    </row>
    <row r="41" spans="1:21" ht="42" x14ac:dyDescent="0.25">
      <c r="A41" s="29" t="s">
        <v>13</v>
      </c>
      <c r="B41" s="25" t="s">
        <v>75</v>
      </c>
      <c r="C41" s="25" t="s">
        <v>90</v>
      </c>
      <c r="D41" s="25" t="s">
        <v>85</v>
      </c>
      <c r="E41" s="25" t="s">
        <v>86</v>
      </c>
      <c r="F41" s="9">
        <v>0.1195</v>
      </c>
      <c r="G41" s="9">
        <v>0.12</v>
      </c>
      <c r="H41" s="9">
        <v>0.12</v>
      </c>
      <c r="I41" s="9">
        <v>0.1</v>
      </c>
      <c r="J41" s="9">
        <v>0.1</v>
      </c>
      <c r="K41" s="9">
        <v>0.1</v>
      </c>
      <c r="L41" s="9">
        <v>0.11</v>
      </c>
      <c r="M41" s="25" t="s">
        <v>91</v>
      </c>
    </row>
    <row r="42" spans="1:21" ht="42" x14ac:dyDescent="0.25">
      <c r="A42" s="29" t="s">
        <v>37</v>
      </c>
      <c r="B42" s="25" t="s">
        <v>75</v>
      </c>
      <c r="C42" s="25" t="s">
        <v>90</v>
      </c>
      <c r="D42" s="25" t="s">
        <v>85</v>
      </c>
      <c r="E42" s="25" t="s">
        <v>86</v>
      </c>
      <c r="F42" s="9">
        <v>0.11310000000000001</v>
      </c>
      <c r="G42" s="9">
        <v>0.11</v>
      </c>
      <c r="H42" s="9">
        <v>0.11</v>
      </c>
      <c r="I42" s="9">
        <v>0.1</v>
      </c>
      <c r="J42" s="9">
        <v>0.09</v>
      </c>
      <c r="K42" s="9">
        <v>0.09</v>
      </c>
      <c r="L42" s="9">
        <v>0.11</v>
      </c>
      <c r="M42" s="25" t="s">
        <v>91</v>
      </c>
    </row>
    <row r="43" spans="1:21" ht="42" x14ac:dyDescent="0.25">
      <c r="A43" s="29" t="s">
        <v>30</v>
      </c>
      <c r="B43" s="25" t="s">
        <v>75</v>
      </c>
      <c r="C43" s="26" t="s">
        <v>92</v>
      </c>
      <c r="D43" s="25" t="s">
        <v>85</v>
      </c>
      <c r="E43" s="25" t="s">
        <v>86</v>
      </c>
      <c r="F43" s="9">
        <v>0.1245</v>
      </c>
      <c r="G43" s="9">
        <v>0.11</v>
      </c>
      <c r="H43" s="9">
        <v>0.11</v>
      </c>
      <c r="I43" s="9">
        <v>0.11</v>
      </c>
      <c r="J43" s="9">
        <v>0.1</v>
      </c>
      <c r="K43" s="9">
        <v>0.1</v>
      </c>
      <c r="L43" s="9">
        <v>0.1</v>
      </c>
      <c r="M43" s="25" t="s">
        <v>91</v>
      </c>
    </row>
    <row r="44" spans="1:21" ht="42" x14ac:dyDescent="0.25">
      <c r="A44" s="29" t="s">
        <v>40</v>
      </c>
      <c r="B44" s="25" t="s">
        <v>75</v>
      </c>
      <c r="C44" s="25" t="s">
        <v>90</v>
      </c>
      <c r="D44" s="25" t="s">
        <v>85</v>
      </c>
      <c r="E44" s="25" t="s">
        <v>86</v>
      </c>
      <c r="F44" s="9">
        <v>0.1191</v>
      </c>
      <c r="G44" s="9">
        <v>0.1191</v>
      </c>
      <c r="H44" s="9">
        <v>0.1191</v>
      </c>
      <c r="I44" s="9">
        <v>0.11</v>
      </c>
      <c r="J44" s="9">
        <v>0.11</v>
      </c>
      <c r="K44" s="9">
        <v>0.1</v>
      </c>
      <c r="L44" s="9">
        <v>0.1</v>
      </c>
      <c r="M44" s="25" t="s">
        <v>91</v>
      </c>
    </row>
    <row r="45" spans="1:21" ht="42" x14ac:dyDescent="0.25">
      <c r="A45" s="29" t="s">
        <v>32</v>
      </c>
      <c r="B45" s="25" t="s">
        <v>75</v>
      </c>
      <c r="C45" s="25" t="s">
        <v>90</v>
      </c>
      <c r="D45" s="25" t="s">
        <v>85</v>
      </c>
      <c r="E45" s="25" t="s">
        <v>86</v>
      </c>
      <c r="F45" s="9">
        <v>0.1163</v>
      </c>
      <c r="G45" s="9">
        <v>0.11</v>
      </c>
      <c r="H45" s="9">
        <v>0.11</v>
      </c>
      <c r="I45" s="9">
        <v>0.1</v>
      </c>
      <c r="J45" s="9">
        <v>0.1</v>
      </c>
      <c r="K45" s="9">
        <v>0.1</v>
      </c>
      <c r="L45" s="9">
        <v>0.1</v>
      </c>
      <c r="M45" s="25" t="s">
        <v>91</v>
      </c>
    </row>
    <row r="46" spans="1:21" ht="42" x14ac:dyDescent="0.25">
      <c r="A46" s="29" t="s">
        <v>42</v>
      </c>
      <c r="B46" s="25" t="s">
        <v>75</v>
      </c>
      <c r="C46" s="25" t="s">
        <v>90</v>
      </c>
      <c r="D46" s="25" t="s">
        <v>85</v>
      </c>
      <c r="E46" s="25" t="s">
        <v>86</v>
      </c>
      <c r="F46" s="9">
        <v>0</v>
      </c>
      <c r="G46" s="9">
        <v>0</v>
      </c>
      <c r="H46" s="9">
        <v>0.11</v>
      </c>
      <c r="I46" s="9">
        <v>0.11</v>
      </c>
      <c r="J46" s="9">
        <v>0.11</v>
      </c>
      <c r="K46" s="9">
        <v>0.11</v>
      </c>
      <c r="L46" s="9">
        <v>0.11</v>
      </c>
      <c r="M46" s="25" t="s">
        <v>91</v>
      </c>
    </row>
    <row r="47" spans="1:21" ht="28.5" x14ac:dyDescent="0.25">
      <c r="A47" s="29" t="s">
        <v>13</v>
      </c>
      <c r="B47" s="25" t="s">
        <v>75</v>
      </c>
      <c r="C47" s="22" t="s">
        <v>93</v>
      </c>
      <c r="D47" s="22" t="s">
        <v>94</v>
      </c>
      <c r="E47" s="22" t="s">
        <v>95</v>
      </c>
      <c r="F47" s="19">
        <v>23216</v>
      </c>
      <c r="G47" s="19">
        <v>24187</v>
      </c>
      <c r="H47" s="20">
        <v>26262</v>
      </c>
      <c r="I47" s="20">
        <v>25546</v>
      </c>
      <c r="J47" s="20">
        <v>28431</v>
      </c>
      <c r="K47" s="20">
        <v>30774</v>
      </c>
      <c r="L47" s="20">
        <v>32750</v>
      </c>
      <c r="M47" s="25" t="s">
        <v>96</v>
      </c>
    </row>
    <row r="48" spans="1:21" ht="42.75" x14ac:dyDescent="0.25">
      <c r="A48" s="29" t="s">
        <v>37</v>
      </c>
      <c r="B48" s="25" t="s">
        <v>75</v>
      </c>
      <c r="C48" s="22" t="s">
        <v>97</v>
      </c>
      <c r="D48" s="22" t="s">
        <v>94</v>
      </c>
      <c r="E48" s="22" t="s">
        <v>95</v>
      </c>
      <c r="F48" s="19">
        <v>1719</v>
      </c>
      <c r="G48" s="19">
        <v>2227</v>
      </c>
      <c r="H48" s="19">
        <v>4007</v>
      </c>
      <c r="I48" s="19">
        <v>5157</v>
      </c>
      <c r="J48" s="19">
        <v>5908</v>
      </c>
      <c r="K48" s="19">
        <v>6429</v>
      </c>
      <c r="L48" s="19">
        <v>6702</v>
      </c>
      <c r="M48" s="25" t="s">
        <v>96</v>
      </c>
      <c r="N48" s="1"/>
      <c r="U48" s="1"/>
    </row>
    <row r="49" spans="1:14" ht="42.75" x14ac:dyDescent="0.25">
      <c r="A49" s="29" t="s">
        <v>30</v>
      </c>
      <c r="B49" s="25" t="s">
        <v>75</v>
      </c>
      <c r="C49" s="22" t="s">
        <v>98</v>
      </c>
      <c r="D49" s="22" t="s">
        <v>94</v>
      </c>
      <c r="E49" s="22" t="s">
        <v>95</v>
      </c>
      <c r="F49" s="19">
        <v>18150</v>
      </c>
      <c r="G49" s="19">
        <v>18244</v>
      </c>
      <c r="H49" s="19">
        <v>18977</v>
      </c>
      <c r="I49" s="19">
        <v>17543</v>
      </c>
      <c r="J49" s="19">
        <v>18017</v>
      </c>
      <c r="K49" s="19">
        <v>18568</v>
      </c>
      <c r="L49" s="19">
        <v>19291</v>
      </c>
      <c r="M49" s="25" t="s">
        <v>96</v>
      </c>
      <c r="N49" s="1"/>
    </row>
    <row r="50" spans="1:14" ht="42.75" x14ac:dyDescent="0.25">
      <c r="A50" s="29" t="s">
        <v>40</v>
      </c>
      <c r="B50" s="25" t="s">
        <v>75</v>
      </c>
      <c r="C50" s="22" t="s">
        <v>99</v>
      </c>
      <c r="D50" s="22" t="s">
        <v>94</v>
      </c>
      <c r="E50" s="22" t="s">
        <v>95</v>
      </c>
      <c r="F50" s="19">
        <v>1471</v>
      </c>
      <c r="G50" s="19">
        <v>1307</v>
      </c>
      <c r="H50" s="19">
        <v>1312</v>
      </c>
      <c r="I50" s="19">
        <v>1230</v>
      </c>
      <c r="J50" s="19">
        <v>1636</v>
      </c>
      <c r="K50" s="19">
        <v>1902</v>
      </c>
      <c r="L50" s="19">
        <v>2143</v>
      </c>
      <c r="M50" s="25" t="s">
        <v>96</v>
      </c>
      <c r="N50" s="1"/>
    </row>
    <row r="51" spans="1:14" ht="42.75" x14ac:dyDescent="0.25">
      <c r="A51" s="29" t="s">
        <v>32</v>
      </c>
      <c r="B51" s="25" t="s">
        <v>75</v>
      </c>
      <c r="C51" s="22" t="s">
        <v>100</v>
      </c>
      <c r="D51" s="22" t="s">
        <v>94</v>
      </c>
      <c r="E51" s="22" t="s">
        <v>95</v>
      </c>
      <c r="F51" s="19">
        <v>1657</v>
      </c>
      <c r="G51" s="19">
        <v>1797</v>
      </c>
      <c r="H51" s="19">
        <v>1658</v>
      </c>
      <c r="I51" s="19">
        <v>1009</v>
      </c>
      <c r="J51" s="19">
        <v>1606</v>
      </c>
      <c r="K51" s="19">
        <v>2081</v>
      </c>
      <c r="L51" s="19">
        <v>2460</v>
      </c>
      <c r="M51" s="25" t="s">
        <v>96</v>
      </c>
      <c r="N51" s="1"/>
    </row>
    <row r="52" spans="1:14" ht="42.75" x14ac:dyDescent="0.25">
      <c r="A52" s="29" t="s">
        <v>42</v>
      </c>
      <c r="B52" s="25" t="s">
        <v>75</v>
      </c>
      <c r="C52" s="22" t="s">
        <v>101</v>
      </c>
      <c r="D52" s="22" t="s">
        <v>94</v>
      </c>
      <c r="E52" s="22" t="s">
        <v>95</v>
      </c>
      <c r="F52" s="21">
        <v>219</v>
      </c>
      <c r="G52" s="21">
        <v>612</v>
      </c>
      <c r="H52" s="19">
        <v>308</v>
      </c>
      <c r="I52" s="19">
        <v>607</v>
      </c>
      <c r="J52" s="19">
        <v>1264</v>
      </c>
      <c r="K52" s="19">
        <v>1794</v>
      </c>
      <c r="L52" s="19">
        <v>2154</v>
      </c>
      <c r="M52" s="25" t="s">
        <v>96</v>
      </c>
      <c r="N52" s="1"/>
    </row>
    <row r="53" spans="1:14" ht="28.5" x14ac:dyDescent="0.25">
      <c r="A53" s="29" t="s">
        <v>13</v>
      </c>
      <c r="B53" s="25" t="s">
        <v>75</v>
      </c>
      <c r="C53" s="22" t="s">
        <v>102</v>
      </c>
      <c r="D53" s="25" t="s">
        <v>103</v>
      </c>
      <c r="E53" s="25" t="s">
        <v>104</v>
      </c>
      <c r="F53" s="19">
        <v>8745</v>
      </c>
      <c r="G53" s="19">
        <v>12695</v>
      </c>
      <c r="H53" s="19">
        <v>16015</v>
      </c>
      <c r="I53" s="19">
        <v>11578</v>
      </c>
      <c r="J53" s="19">
        <v>11810</v>
      </c>
      <c r="K53" s="19">
        <v>12326</v>
      </c>
      <c r="L53" s="19">
        <v>12696</v>
      </c>
      <c r="M53" s="25" t="s">
        <v>105</v>
      </c>
    </row>
    <row r="54" spans="1:14" ht="28.5" x14ac:dyDescent="0.25">
      <c r="A54" s="29" t="s">
        <v>37</v>
      </c>
      <c r="B54" s="25" t="s">
        <v>75</v>
      </c>
      <c r="C54" s="22" t="s">
        <v>106</v>
      </c>
      <c r="D54" s="25" t="s">
        <v>103</v>
      </c>
      <c r="E54" s="25" t="s">
        <v>104</v>
      </c>
      <c r="F54" s="19">
        <v>1428</v>
      </c>
      <c r="G54" s="19">
        <v>2005</v>
      </c>
      <c r="H54" s="19">
        <v>3015</v>
      </c>
      <c r="I54" s="19">
        <v>2405</v>
      </c>
      <c r="J54" s="19">
        <v>2470</v>
      </c>
      <c r="K54" s="19">
        <v>2480</v>
      </c>
      <c r="L54" s="19">
        <v>2480</v>
      </c>
      <c r="M54" s="25" t="s">
        <v>105</v>
      </c>
    </row>
    <row r="55" spans="1:14" ht="28.5" x14ac:dyDescent="0.25">
      <c r="A55" s="29" t="s">
        <v>30</v>
      </c>
      <c r="B55" s="25" t="s">
        <v>75</v>
      </c>
      <c r="C55" s="22" t="s">
        <v>107</v>
      </c>
      <c r="D55" s="25" t="s">
        <v>103</v>
      </c>
      <c r="E55" s="25" t="s">
        <v>104</v>
      </c>
      <c r="F55" s="19">
        <v>6612</v>
      </c>
      <c r="G55" s="19">
        <v>7700</v>
      </c>
      <c r="H55" s="19">
        <v>8195</v>
      </c>
      <c r="I55" s="19">
        <v>6768</v>
      </c>
      <c r="J55" s="19">
        <v>6860</v>
      </c>
      <c r="K55" s="19">
        <v>7281</v>
      </c>
      <c r="L55" s="19">
        <v>7641</v>
      </c>
      <c r="M55" s="25" t="s">
        <v>105</v>
      </c>
    </row>
    <row r="56" spans="1:14" ht="28.5" x14ac:dyDescent="0.25">
      <c r="A56" s="29" t="s">
        <v>40</v>
      </c>
      <c r="B56" s="25" t="s">
        <v>75</v>
      </c>
      <c r="C56" s="22" t="s">
        <v>108</v>
      </c>
      <c r="D56" s="25" t="s">
        <v>103</v>
      </c>
      <c r="E56" s="25" t="s">
        <v>104</v>
      </c>
      <c r="F56" s="19">
        <v>354</v>
      </c>
      <c r="G56" s="19">
        <v>780</v>
      </c>
      <c r="H56" s="19">
        <v>990</v>
      </c>
      <c r="I56" s="19">
        <v>695</v>
      </c>
      <c r="J56" s="19">
        <v>695</v>
      </c>
      <c r="K56" s="19">
        <v>705</v>
      </c>
      <c r="L56" s="19">
        <v>715</v>
      </c>
      <c r="M56" s="25" t="s">
        <v>105</v>
      </c>
    </row>
    <row r="57" spans="1:14" ht="28.5" x14ac:dyDescent="0.25">
      <c r="A57" s="29" t="s">
        <v>32</v>
      </c>
      <c r="B57" s="25" t="s">
        <v>75</v>
      </c>
      <c r="C57" s="22" t="s">
        <v>109</v>
      </c>
      <c r="D57" s="25" t="s">
        <v>103</v>
      </c>
      <c r="E57" s="25" t="s">
        <v>104</v>
      </c>
      <c r="F57" s="19">
        <v>221</v>
      </c>
      <c r="G57" s="19">
        <v>1325</v>
      </c>
      <c r="H57" s="19">
        <v>1960</v>
      </c>
      <c r="I57" s="19">
        <v>1115</v>
      </c>
      <c r="J57" s="19">
        <v>1190</v>
      </c>
      <c r="K57" s="19">
        <v>1265</v>
      </c>
      <c r="L57" s="19">
        <v>1265</v>
      </c>
      <c r="M57" s="25" t="s">
        <v>105</v>
      </c>
    </row>
    <row r="58" spans="1:14" ht="28.5" x14ac:dyDescent="0.25">
      <c r="A58" s="29" t="s">
        <v>42</v>
      </c>
      <c r="B58" s="25" t="s">
        <v>75</v>
      </c>
      <c r="C58" s="22" t="s">
        <v>110</v>
      </c>
      <c r="D58" s="25" t="s">
        <v>103</v>
      </c>
      <c r="E58" s="25" t="s">
        <v>104</v>
      </c>
      <c r="F58" s="19">
        <v>105</v>
      </c>
      <c r="G58" s="19">
        <v>885</v>
      </c>
      <c r="H58" s="19">
        <v>1855</v>
      </c>
      <c r="I58" s="19">
        <v>595</v>
      </c>
      <c r="J58" s="19">
        <v>595</v>
      </c>
      <c r="K58" s="19">
        <v>595</v>
      </c>
      <c r="L58" s="19">
        <v>595</v>
      </c>
      <c r="M58" s="25" t="s">
        <v>105</v>
      </c>
    </row>
    <row r="59" spans="1:14" ht="28.5" x14ac:dyDescent="0.25">
      <c r="A59" s="29" t="s">
        <v>13</v>
      </c>
      <c r="B59" s="25" t="s">
        <v>111</v>
      </c>
      <c r="C59" s="27" t="s">
        <v>112</v>
      </c>
      <c r="D59" s="25"/>
      <c r="E59" s="25"/>
      <c r="F59" s="7">
        <v>0</v>
      </c>
      <c r="G59" s="11">
        <v>0.188</v>
      </c>
      <c r="H59" s="11">
        <v>0.16144</v>
      </c>
      <c r="I59" s="11">
        <v>0.1804</v>
      </c>
      <c r="J59" s="11">
        <v>0.1867</v>
      </c>
      <c r="K59" s="11">
        <v>0.2135</v>
      </c>
      <c r="L59" s="11">
        <v>0.2223</v>
      </c>
      <c r="M59" s="25" t="s">
        <v>113</v>
      </c>
    </row>
    <row r="60" spans="1:14" ht="28.5" x14ac:dyDescent="0.25">
      <c r="A60" s="29" t="s">
        <v>37</v>
      </c>
      <c r="B60" s="25" t="s">
        <v>111</v>
      </c>
      <c r="C60" s="27" t="s">
        <v>112</v>
      </c>
      <c r="D60" s="25"/>
      <c r="E60" s="25"/>
      <c r="F60" s="7">
        <v>0</v>
      </c>
      <c r="G60" s="11">
        <v>0.23200000000000001</v>
      </c>
      <c r="H60" s="11">
        <v>0.23300000000000001</v>
      </c>
      <c r="I60" s="11">
        <v>0.26</v>
      </c>
      <c r="J60" s="11">
        <v>0.28699999999999998</v>
      </c>
      <c r="K60" s="11">
        <v>0.314</v>
      </c>
      <c r="L60" s="11">
        <v>0.34100000000000003</v>
      </c>
      <c r="M60" s="25" t="s">
        <v>113</v>
      </c>
    </row>
    <row r="61" spans="1:14" ht="28.5" x14ac:dyDescent="0.25">
      <c r="A61" s="29" t="s">
        <v>30</v>
      </c>
      <c r="B61" s="25" t="s">
        <v>111</v>
      </c>
      <c r="C61" s="27" t="s">
        <v>112</v>
      </c>
      <c r="D61" s="25"/>
      <c r="E61" s="25"/>
      <c r="F61" s="7">
        <v>0</v>
      </c>
      <c r="G61" s="11">
        <v>0.17</v>
      </c>
      <c r="H61" s="11">
        <v>0.155</v>
      </c>
      <c r="I61" s="11">
        <v>0.19700000000000001</v>
      </c>
      <c r="J61" s="11">
        <v>0.222</v>
      </c>
      <c r="K61" s="11">
        <v>0.23799999999999999</v>
      </c>
      <c r="L61" s="11">
        <v>0.25</v>
      </c>
      <c r="M61" s="25" t="s">
        <v>113</v>
      </c>
    </row>
    <row r="62" spans="1:14" ht="28.5" x14ac:dyDescent="0.25">
      <c r="A62" s="29" t="s">
        <v>40</v>
      </c>
      <c r="B62" s="25" t="s">
        <v>111</v>
      </c>
      <c r="C62" s="27" t="s">
        <v>112</v>
      </c>
      <c r="D62" s="25"/>
      <c r="E62" s="25"/>
      <c r="F62" s="7">
        <v>0</v>
      </c>
      <c r="G62" s="11">
        <v>0.159</v>
      </c>
      <c r="H62" s="11">
        <v>0.17799999999999999</v>
      </c>
      <c r="I62" s="11">
        <v>0.19400000000000001</v>
      </c>
      <c r="J62" s="11">
        <v>0.218</v>
      </c>
      <c r="K62" s="11">
        <v>0.24199999999999999</v>
      </c>
      <c r="L62" s="11">
        <v>0.16600000000000001</v>
      </c>
      <c r="M62" s="25" t="s">
        <v>113</v>
      </c>
    </row>
    <row r="63" spans="1:14" ht="28.5" x14ac:dyDescent="0.25">
      <c r="A63" s="29" t="s">
        <v>32</v>
      </c>
      <c r="B63" s="25" t="s">
        <v>111</v>
      </c>
      <c r="C63" s="27" t="s">
        <v>112</v>
      </c>
      <c r="D63" s="25"/>
      <c r="E63" s="25"/>
      <c r="F63" s="7">
        <v>0</v>
      </c>
      <c r="G63" s="11">
        <v>1.4E-2</v>
      </c>
      <c r="H63" s="11">
        <v>7.9000000000000001E-2</v>
      </c>
      <c r="I63" s="11">
        <v>0.113</v>
      </c>
      <c r="J63" s="11">
        <v>0.14699999999999999</v>
      </c>
      <c r="K63" s="11">
        <v>0.17</v>
      </c>
      <c r="L63" s="11">
        <v>0.192</v>
      </c>
      <c r="M63" s="25" t="s">
        <v>113</v>
      </c>
    </row>
    <row r="64" spans="1:14" ht="28.5" x14ac:dyDescent="0.25">
      <c r="A64" s="29" t="s">
        <v>42</v>
      </c>
      <c r="B64" s="25" t="s">
        <v>111</v>
      </c>
      <c r="C64" s="27" t="s">
        <v>112</v>
      </c>
      <c r="D64" s="25"/>
      <c r="E64" s="25"/>
      <c r="F64" s="7">
        <v>0</v>
      </c>
      <c r="G64" s="11">
        <v>0.114</v>
      </c>
      <c r="H64" s="11">
        <v>0.127</v>
      </c>
      <c r="I64" s="11">
        <v>0.13300000000000001</v>
      </c>
      <c r="J64" s="11">
        <v>0.13400000000000001</v>
      </c>
      <c r="K64" s="11">
        <v>0.16200000000000001</v>
      </c>
      <c r="L64" s="11">
        <v>0.20499999999999999</v>
      </c>
      <c r="M64" s="25" t="s">
        <v>113</v>
      </c>
    </row>
    <row r="65" spans="1:13" ht="57" x14ac:dyDescent="0.25">
      <c r="A65" s="29" t="s">
        <v>13</v>
      </c>
      <c r="B65" s="25" t="s">
        <v>111</v>
      </c>
      <c r="C65" s="22" t="s">
        <v>114</v>
      </c>
      <c r="D65" s="25"/>
      <c r="E65" s="25"/>
      <c r="F65" s="7">
        <v>0</v>
      </c>
      <c r="G65" s="10" t="s">
        <v>115</v>
      </c>
      <c r="H65" s="10" t="s">
        <v>116</v>
      </c>
      <c r="I65" s="10" t="s">
        <v>117</v>
      </c>
      <c r="J65" s="10" t="s">
        <v>118</v>
      </c>
      <c r="K65" s="10" t="s">
        <v>119</v>
      </c>
      <c r="L65" s="10" t="s">
        <v>120</v>
      </c>
      <c r="M65" s="25" t="s">
        <v>121</v>
      </c>
    </row>
    <row r="66" spans="1:13" ht="42.75" x14ac:dyDescent="0.25">
      <c r="A66" s="29" t="s">
        <v>37</v>
      </c>
      <c r="B66" s="25" t="s">
        <v>111</v>
      </c>
      <c r="C66" s="22" t="s">
        <v>122</v>
      </c>
      <c r="D66" s="25"/>
      <c r="E66" s="25"/>
      <c r="F66" s="7">
        <v>0</v>
      </c>
      <c r="G66" s="10" t="s">
        <v>115</v>
      </c>
      <c r="H66" s="10" t="s">
        <v>116</v>
      </c>
      <c r="I66" s="10" t="s">
        <v>117</v>
      </c>
      <c r="J66" s="10" t="s">
        <v>118</v>
      </c>
      <c r="K66" s="10" t="s">
        <v>119</v>
      </c>
      <c r="L66" s="10" t="s">
        <v>120</v>
      </c>
      <c r="M66" s="25" t="s">
        <v>121</v>
      </c>
    </row>
    <row r="67" spans="1:13" ht="42.75" x14ac:dyDescent="0.25">
      <c r="A67" s="29" t="s">
        <v>30</v>
      </c>
      <c r="B67" s="25" t="s">
        <v>111</v>
      </c>
      <c r="C67" s="22" t="s">
        <v>122</v>
      </c>
      <c r="D67" s="25"/>
      <c r="E67" s="25"/>
      <c r="F67" s="7">
        <v>0</v>
      </c>
      <c r="G67" s="10" t="s">
        <v>115</v>
      </c>
      <c r="H67" s="10" t="s">
        <v>116</v>
      </c>
      <c r="I67" s="10" t="s">
        <v>117</v>
      </c>
      <c r="J67" s="10" t="s">
        <v>118</v>
      </c>
      <c r="K67" s="10" t="s">
        <v>119</v>
      </c>
      <c r="L67" s="10" t="s">
        <v>120</v>
      </c>
      <c r="M67" s="25" t="s">
        <v>121</v>
      </c>
    </row>
    <row r="68" spans="1:13" ht="42.75" x14ac:dyDescent="0.25">
      <c r="A68" s="29" t="s">
        <v>40</v>
      </c>
      <c r="B68" s="25" t="s">
        <v>111</v>
      </c>
      <c r="C68" s="22" t="s">
        <v>122</v>
      </c>
      <c r="D68" s="25"/>
      <c r="E68" s="25"/>
      <c r="F68" s="7">
        <v>0</v>
      </c>
      <c r="G68" s="10" t="s">
        <v>115</v>
      </c>
      <c r="H68" s="10" t="s">
        <v>116</v>
      </c>
      <c r="I68" s="10" t="s">
        <v>117</v>
      </c>
      <c r="J68" s="10" t="s">
        <v>118</v>
      </c>
      <c r="K68" s="10" t="s">
        <v>119</v>
      </c>
      <c r="L68" s="10" t="s">
        <v>120</v>
      </c>
      <c r="M68" s="25" t="s">
        <v>121</v>
      </c>
    </row>
    <row r="69" spans="1:13" ht="42.75" x14ac:dyDescent="0.25">
      <c r="A69" s="29" t="s">
        <v>32</v>
      </c>
      <c r="B69" s="25" t="s">
        <v>111</v>
      </c>
      <c r="C69" s="22" t="s">
        <v>122</v>
      </c>
      <c r="D69" s="25"/>
      <c r="E69" s="25"/>
      <c r="F69" s="7">
        <v>0</v>
      </c>
      <c r="G69" s="10" t="s">
        <v>115</v>
      </c>
      <c r="H69" s="10" t="s">
        <v>116</v>
      </c>
      <c r="I69" s="10" t="s">
        <v>117</v>
      </c>
      <c r="J69" s="10" t="s">
        <v>118</v>
      </c>
      <c r="K69" s="10" t="s">
        <v>119</v>
      </c>
      <c r="L69" s="10" t="s">
        <v>120</v>
      </c>
      <c r="M69" s="25" t="s">
        <v>121</v>
      </c>
    </row>
    <row r="70" spans="1:13" ht="42.75" x14ac:dyDescent="0.25">
      <c r="A70" s="30" t="s">
        <v>42</v>
      </c>
      <c r="B70" s="31" t="s">
        <v>111</v>
      </c>
      <c r="C70" s="32" t="s">
        <v>122</v>
      </c>
      <c r="D70" s="31"/>
      <c r="E70" s="31"/>
      <c r="F70" s="33">
        <v>0</v>
      </c>
      <c r="G70" s="34" t="s">
        <v>115</v>
      </c>
      <c r="H70" s="34" t="s">
        <v>116</v>
      </c>
      <c r="I70" s="34" t="s">
        <v>117</v>
      </c>
      <c r="J70" s="34" t="s">
        <v>118</v>
      </c>
      <c r="K70" s="34" t="s">
        <v>119</v>
      </c>
      <c r="L70" s="34" t="s">
        <v>120</v>
      </c>
      <c r="M70" s="31" t="s">
        <v>121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BE9C9-8E63-4D3E-AEA5-A65F4559C161}">
  <dimension ref="A1:H14"/>
  <sheetViews>
    <sheetView tabSelected="1" workbookViewId="0">
      <selection activeCell="K13" sqref="K13"/>
    </sheetView>
  </sheetViews>
  <sheetFormatPr baseColWidth="10" defaultRowHeight="15" x14ac:dyDescent="0.25"/>
  <cols>
    <col min="1" max="1" width="29.5703125" bestFit="1" customWidth="1"/>
    <col min="2" max="2" width="26" bestFit="1" customWidth="1"/>
    <col min="3" max="8" width="13.5703125" bestFit="1" customWidth="1"/>
    <col min="9" max="9" width="7" bestFit="1" customWidth="1"/>
    <col min="10" max="10" width="5" bestFit="1" customWidth="1"/>
    <col min="11" max="11" width="6" bestFit="1" customWidth="1"/>
    <col min="12" max="12" width="4" bestFit="1" customWidth="1"/>
    <col min="13" max="14" width="5" bestFit="1" customWidth="1"/>
    <col min="15" max="15" width="2" bestFit="1" customWidth="1"/>
    <col min="16" max="23" width="4" bestFit="1" customWidth="1"/>
    <col min="24" max="24" width="7" bestFit="1" customWidth="1"/>
    <col min="25" max="34" width="5" bestFit="1" customWidth="1"/>
    <col min="35" max="35" width="7" bestFit="1" customWidth="1"/>
    <col min="36" max="39" width="6" bestFit="1" customWidth="1"/>
    <col min="40" max="40" width="5" bestFit="1" customWidth="1"/>
    <col min="41" max="41" width="5.7109375" bestFit="1" customWidth="1"/>
    <col min="42" max="42" width="2.5703125" bestFit="1" customWidth="1"/>
    <col min="43" max="43" width="16.85546875" bestFit="1" customWidth="1"/>
    <col min="44" max="44" width="2.5703125" bestFit="1" customWidth="1"/>
    <col min="45" max="45" width="12.5703125" bestFit="1" customWidth="1"/>
    <col min="46" max="46" width="16.85546875" bestFit="1" customWidth="1"/>
    <col min="47" max="47" width="2.85546875" bestFit="1" customWidth="1"/>
    <col min="48" max="48" width="12.5703125" bestFit="1" customWidth="1"/>
    <col min="49" max="49" width="8.85546875" bestFit="1" customWidth="1"/>
    <col min="50" max="50" width="5.85546875" bestFit="1" customWidth="1"/>
    <col min="51" max="51" width="8.85546875" bestFit="1" customWidth="1"/>
    <col min="52" max="52" width="5.85546875" bestFit="1" customWidth="1"/>
    <col min="53" max="53" width="8.85546875" bestFit="1" customWidth="1"/>
    <col min="54" max="54" width="5.85546875" bestFit="1" customWidth="1"/>
    <col min="55" max="55" width="8.85546875" bestFit="1" customWidth="1"/>
    <col min="56" max="56" width="5.85546875" bestFit="1" customWidth="1"/>
    <col min="57" max="57" width="8.85546875" bestFit="1" customWidth="1"/>
    <col min="58" max="58" width="5.85546875" bestFit="1" customWidth="1"/>
    <col min="59" max="59" width="8.85546875" bestFit="1" customWidth="1"/>
    <col min="60" max="60" width="5.85546875" bestFit="1" customWidth="1"/>
    <col min="61" max="61" width="8.85546875" bestFit="1" customWidth="1"/>
    <col min="62" max="62" width="5.85546875" bestFit="1" customWidth="1"/>
    <col min="63" max="63" width="8.85546875" bestFit="1" customWidth="1"/>
    <col min="64" max="64" width="7.85546875" bestFit="1" customWidth="1"/>
    <col min="65" max="65" width="10.42578125" bestFit="1" customWidth="1"/>
    <col min="66" max="66" width="9.85546875" bestFit="1" customWidth="1"/>
    <col min="67" max="67" width="12.42578125" bestFit="1" customWidth="1"/>
    <col min="68" max="68" width="6.85546875" bestFit="1" customWidth="1"/>
    <col min="69" max="69" width="9.85546875" bestFit="1" customWidth="1"/>
    <col min="70" max="70" width="6.85546875" bestFit="1" customWidth="1"/>
    <col min="71" max="71" width="9.85546875" bestFit="1" customWidth="1"/>
    <col min="72" max="72" width="6.85546875" bestFit="1" customWidth="1"/>
    <col min="73" max="73" width="9.85546875" bestFit="1" customWidth="1"/>
    <col min="74" max="74" width="6.85546875" bestFit="1" customWidth="1"/>
    <col min="75" max="75" width="9.85546875" bestFit="1" customWidth="1"/>
    <col min="76" max="76" width="6.85546875" bestFit="1" customWidth="1"/>
    <col min="77" max="77" width="9.85546875" bestFit="1" customWidth="1"/>
    <col min="78" max="78" width="6.85546875" bestFit="1" customWidth="1"/>
    <col min="79" max="79" width="9.85546875" bestFit="1" customWidth="1"/>
    <col min="80" max="80" width="7.85546875" bestFit="1" customWidth="1"/>
    <col min="81" max="81" width="10.85546875" bestFit="1" customWidth="1"/>
    <col min="82" max="82" width="7.85546875" bestFit="1" customWidth="1"/>
    <col min="83" max="83" width="10.85546875" bestFit="1" customWidth="1"/>
    <col min="84" max="84" width="7.85546875" bestFit="1" customWidth="1"/>
    <col min="85" max="85" width="10.85546875" bestFit="1" customWidth="1"/>
    <col min="86" max="86" width="7.5703125" bestFit="1" customWidth="1"/>
    <col min="87" max="87" width="10.5703125" bestFit="1" customWidth="1"/>
    <col min="88" max="88" width="5.85546875" bestFit="1" customWidth="1"/>
    <col min="89" max="89" width="8.85546875" bestFit="1" customWidth="1"/>
    <col min="90" max="90" width="4.42578125" bestFit="1" customWidth="1"/>
    <col min="91" max="91" width="7.42578125" bestFit="1" customWidth="1"/>
    <col min="92" max="92" width="20.85546875" bestFit="1" customWidth="1"/>
    <col min="93" max="93" width="21.85546875" bestFit="1" customWidth="1"/>
    <col min="94" max="94" width="4.7109375" bestFit="1" customWidth="1"/>
    <col min="95" max="95" width="7.7109375" bestFit="1" customWidth="1"/>
    <col min="96" max="96" width="12.5703125" bestFit="1" customWidth="1"/>
    <col min="97" max="98" width="8.85546875" bestFit="1" customWidth="1"/>
    <col min="99" max="99" width="11.42578125" bestFit="1" customWidth="1"/>
    <col min="100" max="100" width="10.42578125" bestFit="1" customWidth="1"/>
    <col min="101" max="101" width="9.85546875" bestFit="1" customWidth="1"/>
    <col min="102" max="102" width="11.42578125" bestFit="1" customWidth="1"/>
    <col min="103" max="103" width="12.42578125" bestFit="1" customWidth="1"/>
    <col min="104" max="104" width="6.85546875" bestFit="1" customWidth="1"/>
    <col min="105" max="106" width="9.85546875" bestFit="1" customWidth="1"/>
    <col min="107" max="107" width="6.85546875" bestFit="1" customWidth="1"/>
    <col min="108" max="109" width="9.85546875" bestFit="1" customWidth="1"/>
    <col min="110" max="110" width="6.85546875" bestFit="1" customWidth="1"/>
    <col min="111" max="112" width="9.85546875" bestFit="1" customWidth="1"/>
    <col min="113" max="113" width="6.85546875" bestFit="1" customWidth="1"/>
    <col min="114" max="115" width="9.85546875" bestFit="1" customWidth="1"/>
    <col min="116" max="116" width="6.85546875" bestFit="1" customWidth="1"/>
    <col min="117" max="118" width="9.85546875" bestFit="1" customWidth="1"/>
    <col min="119" max="119" width="6.85546875" bestFit="1" customWidth="1"/>
    <col min="120" max="121" width="9.85546875" bestFit="1" customWidth="1"/>
    <col min="122" max="122" width="7.85546875" bestFit="1" customWidth="1"/>
    <col min="123" max="124" width="10.85546875" bestFit="1" customWidth="1"/>
    <col min="125" max="125" width="7.85546875" bestFit="1" customWidth="1"/>
    <col min="126" max="127" width="10.85546875" bestFit="1" customWidth="1"/>
    <col min="128" max="128" width="7.85546875" bestFit="1" customWidth="1"/>
    <col min="129" max="130" width="10.85546875" bestFit="1" customWidth="1"/>
    <col min="131" max="131" width="7.5703125" bestFit="1" customWidth="1"/>
    <col min="132" max="133" width="10.5703125" bestFit="1" customWidth="1"/>
    <col min="134" max="134" width="5.85546875" bestFit="1" customWidth="1"/>
    <col min="135" max="136" width="8.85546875" bestFit="1" customWidth="1"/>
    <col min="137" max="137" width="4.42578125" bestFit="1" customWidth="1"/>
    <col min="138" max="139" width="7.42578125" bestFit="1" customWidth="1"/>
    <col min="140" max="140" width="22.7109375" bestFit="1" customWidth="1"/>
    <col min="141" max="141" width="25.85546875" bestFit="1" customWidth="1"/>
    <col min="142" max="142" width="21.85546875" bestFit="1" customWidth="1"/>
    <col min="143" max="143" width="4.7109375" bestFit="1" customWidth="1"/>
    <col min="144" max="144" width="2.85546875" bestFit="1" customWidth="1"/>
    <col min="145" max="146" width="7.7109375" bestFit="1" customWidth="1"/>
    <col min="147" max="147" width="12.5703125" bestFit="1" customWidth="1"/>
    <col min="148" max="148" width="9.85546875" bestFit="1" customWidth="1"/>
    <col min="149" max="149" width="6.85546875" bestFit="1" customWidth="1"/>
    <col min="150" max="152" width="9.85546875" bestFit="1" customWidth="1"/>
    <col min="153" max="153" width="6.85546875" bestFit="1" customWidth="1"/>
    <col min="154" max="156" width="9.85546875" bestFit="1" customWidth="1"/>
    <col min="157" max="157" width="6.85546875" bestFit="1" customWidth="1"/>
    <col min="158" max="160" width="9.85546875" bestFit="1" customWidth="1"/>
    <col min="161" max="161" width="6.85546875" bestFit="1" customWidth="1"/>
    <col min="162" max="164" width="9.85546875" bestFit="1" customWidth="1"/>
    <col min="165" max="165" width="7.85546875" bestFit="1" customWidth="1"/>
    <col min="166" max="168" width="10.85546875" bestFit="1" customWidth="1"/>
    <col min="169" max="169" width="7.85546875" bestFit="1" customWidth="1"/>
    <col min="170" max="172" width="10.85546875" bestFit="1" customWidth="1"/>
    <col min="173" max="173" width="7.85546875" bestFit="1" customWidth="1"/>
    <col min="174" max="176" width="10.85546875" bestFit="1" customWidth="1"/>
    <col min="177" max="177" width="7.5703125" bestFit="1" customWidth="1"/>
    <col min="178" max="180" width="10.5703125" bestFit="1" customWidth="1"/>
    <col min="181" max="181" width="5.85546875" bestFit="1" customWidth="1"/>
    <col min="182" max="184" width="8.85546875" bestFit="1" customWidth="1"/>
    <col min="185" max="185" width="4.42578125" bestFit="1" customWidth="1"/>
    <col min="186" max="188" width="7.42578125" bestFit="1" customWidth="1"/>
    <col min="189" max="189" width="22.7109375" bestFit="1" customWidth="1"/>
    <col min="190" max="191" width="25.85546875" bestFit="1" customWidth="1"/>
    <col min="192" max="192" width="21.85546875" bestFit="1" customWidth="1"/>
    <col min="193" max="193" width="4.7109375" bestFit="1" customWidth="1"/>
    <col min="194" max="194" width="7.42578125" bestFit="1" customWidth="1"/>
    <col min="195" max="195" width="4.7109375" bestFit="1" customWidth="1"/>
    <col min="196" max="198" width="7.7109375" bestFit="1" customWidth="1"/>
    <col min="199" max="199" width="12.5703125" bestFit="1" customWidth="1"/>
    <col min="200" max="202" width="9.85546875" bestFit="1" customWidth="1"/>
    <col min="203" max="203" width="6.85546875" bestFit="1" customWidth="1"/>
    <col min="204" max="207" width="9.85546875" bestFit="1" customWidth="1"/>
    <col min="208" max="208" width="7.85546875" bestFit="1" customWidth="1"/>
    <col min="209" max="212" width="10.85546875" bestFit="1" customWidth="1"/>
    <col min="213" max="213" width="7.85546875" bestFit="1" customWidth="1"/>
    <col min="214" max="217" width="10.85546875" bestFit="1" customWidth="1"/>
    <col min="218" max="218" width="7.85546875" bestFit="1" customWidth="1"/>
    <col min="219" max="222" width="10.85546875" bestFit="1" customWidth="1"/>
    <col min="223" max="223" width="7.5703125" bestFit="1" customWidth="1"/>
    <col min="224" max="227" width="10.5703125" bestFit="1" customWidth="1"/>
    <col min="228" max="228" width="5.85546875" bestFit="1" customWidth="1"/>
    <col min="229" max="232" width="8.85546875" bestFit="1" customWidth="1"/>
    <col min="233" max="233" width="4.42578125" bestFit="1" customWidth="1"/>
    <col min="234" max="237" width="7.42578125" bestFit="1" customWidth="1"/>
    <col min="238" max="238" width="22.7109375" bestFit="1" customWidth="1"/>
    <col min="239" max="241" width="25.85546875" bestFit="1" customWidth="1"/>
    <col min="242" max="242" width="21.85546875" bestFit="1" customWidth="1"/>
    <col min="243" max="243" width="4.7109375" bestFit="1" customWidth="1"/>
    <col min="244" max="244" width="7.7109375" bestFit="1" customWidth="1"/>
    <col min="245" max="245" width="7.42578125" bestFit="1" customWidth="1"/>
    <col min="246" max="246" width="4.7109375" bestFit="1" customWidth="1"/>
    <col min="247" max="247" width="2.85546875" bestFit="1" customWidth="1"/>
    <col min="248" max="251" width="7.7109375" bestFit="1" customWidth="1"/>
    <col min="252" max="252" width="12.5703125" bestFit="1" customWidth="1"/>
    <col min="253" max="256" width="10.85546875" bestFit="1" customWidth="1"/>
    <col min="257" max="257" width="7.85546875" bestFit="1" customWidth="1"/>
    <col min="258" max="262" width="10.85546875" bestFit="1" customWidth="1"/>
    <col min="263" max="263" width="7.85546875" bestFit="1" customWidth="1"/>
    <col min="264" max="268" width="10.85546875" bestFit="1" customWidth="1"/>
    <col min="269" max="269" width="7.5703125" bestFit="1" customWidth="1"/>
    <col min="270" max="274" width="10.5703125" bestFit="1" customWidth="1"/>
    <col min="275" max="275" width="5.85546875" bestFit="1" customWidth="1"/>
    <col min="276" max="280" width="8.85546875" bestFit="1" customWidth="1"/>
    <col min="281" max="281" width="4.42578125" bestFit="1" customWidth="1"/>
    <col min="282" max="286" width="7.42578125" bestFit="1" customWidth="1"/>
    <col min="287" max="287" width="22.7109375" bestFit="1" customWidth="1"/>
    <col min="288" max="288" width="21.85546875" bestFit="1" customWidth="1"/>
    <col min="289" max="291" width="25.85546875" bestFit="1" customWidth="1"/>
    <col min="292" max="292" width="21.85546875" bestFit="1" customWidth="1"/>
    <col min="293" max="293" width="4.7109375" bestFit="1" customWidth="1"/>
    <col min="294" max="294" width="7.42578125" bestFit="1" customWidth="1"/>
    <col min="295" max="295" width="7.7109375" bestFit="1" customWidth="1"/>
    <col min="296" max="296" width="7.42578125" bestFit="1" customWidth="1"/>
    <col min="297" max="297" width="4.7109375" bestFit="1" customWidth="1"/>
    <col min="298" max="298" width="7.42578125" bestFit="1" customWidth="1"/>
    <col min="299" max="299" width="4.7109375" bestFit="1" customWidth="1"/>
    <col min="300" max="304" width="7.7109375" bestFit="1" customWidth="1"/>
    <col min="305" max="305" width="12.5703125" bestFit="1" customWidth="1"/>
  </cols>
  <sheetData>
    <row r="1" spans="1:8" x14ac:dyDescent="0.25">
      <c r="A1" s="35" t="s">
        <v>0</v>
      </c>
      <c r="B1" t="s">
        <v>37</v>
      </c>
    </row>
    <row r="3" spans="1:8" x14ac:dyDescent="0.25">
      <c r="A3" s="35" t="s">
        <v>123</v>
      </c>
      <c r="B3" t="s">
        <v>126</v>
      </c>
      <c r="C3" t="s">
        <v>125</v>
      </c>
      <c r="D3" t="s">
        <v>128</v>
      </c>
      <c r="E3" t="s">
        <v>127</v>
      </c>
      <c r="F3" t="s">
        <v>129</v>
      </c>
      <c r="G3" t="s">
        <v>130</v>
      </c>
      <c r="H3" t="s">
        <v>131</v>
      </c>
    </row>
    <row r="4" spans="1:8" x14ac:dyDescent="0.25">
      <c r="A4" s="36" t="s">
        <v>91</v>
      </c>
      <c r="B4" s="38">
        <v>0.11310000000000001</v>
      </c>
      <c r="C4" s="38">
        <v>0.11</v>
      </c>
      <c r="D4" s="38">
        <v>0.11</v>
      </c>
      <c r="E4" s="38">
        <v>0.1</v>
      </c>
      <c r="F4" s="38">
        <v>0.09</v>
      </c>
      <c r="G4" s="38">
        <v>0.09</v>
      </c>
      <c r="H4" s="38">
        <v>0.11</v>
      </c>
    </row>
    <row r="5" spans="1:8" x14ac:dyDescent="0.25">
      <c r="A5" s="36" t="s">
        <v>87</v>
      </c>
      <c r="B5" s="38">
        <v>0</v>
      </c>
      <c r="C5" s="38">
        <v>0.09</v>
      </c>
      <c r="D5" s="38">
        <v>0.09</v>
      </c>
      <c r="E5" s="38">
        <v>0.08</v>
      </c>
      <c r="F5" s="38">
        <v>0.08</v>
      </c>
      <c r="G5" s="38">
        <v>0.08</v>
      </c>
      <c r="H5" s="38">
        <v>0.08</v>
      </c>
    </row>
    <row r="6" spans="1:8" x14ac:dyDescent="0.25">
      <c r="A6" s="36" t="s">
        <v>121</v>
      </c>
      <c r="B6" s="37">
        <v>0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</row>
    <row r="7" spans="1:8" x14ac:dyDescent="0.25">
      <c r="A7" s="36" t="s">
        <v>113</v>
      </c>
      <c r="B7" s="38">
        <v>0</v>
      </c>
      <c r="C7" s="38">
        <v>0.23200000000000001</v>
      </c>
      <c r="D7" s="38">
        <v>0.23300000000000001</v>
      </c>
      <c r="E7" s="38">
        <v>0.26</v>
      </c>
      <c r="F7" s="38">
        <v>0.28699999999999998</v>
      </c>
      <c r="G7" s="38">
        <v>0.314</v>
      </c>
      <c r="H7" s="38">
        <v>0.34100000000000003</v>
      </c>
    </row>
    <row r="8" spans="1:8" x14ac:dyDescent="0.25">
      <c r="A8" s="36" t="s">
        <v>83</v>
      </c>
      <c r="B8" s="37">
        <v>0</v>
      </c>
      <c r="C8" s="37">
        <v>111.35000000000001</v>
      </c>
      <c r="D8" s="37">
        <v>400.70000000000005</v>
      </c>
      <c r="E8" s="37">
        <v>1031.4000000000001</v>
      </c>
      <c r="F8" s="37">
        <v>1772.3999999999999</v>
      </c>
      <c r="G8" s="37">
        <v>2571.6000000000004</v>
      </c>
      <c r="H8" s="37">
        <v>3351</v>
      </c>
    </row>
    <row r="9" spans="1:8" x14ac:dyDescent="0.25">
      <c r="A9" s="36" t="s">
        <v>96</v>
      </c>
      <c r="B9" s="37">
        <v>1719</v>
      </c>
      <c r="C9" s="37">
        <v>2227</v>
      </c>
      <c r="D9" s="37">
        <v>4007</v>
      </c>
      <c r="E9" s="37">
        <v>5157</v>
      </c>
      <c r="F9" s="37">
        <v>5908</v>
      </c>
      <c r="G9" s="37">
        <v>6429</v>
      </c>
      <c r="H9" s="37">
        <v>6702</v>
      </c>
    </row>
    <row r="10" spans="1:8" x14ac:dyDescent="0.25">
      <c r="A10" s="36" t="s">
        <v>105</v>
      </c>
      <c r="B10" s="37">
        <v>1428</v>
      </c>
      <c r="C10" s="37">
        <v>2005</v>
      </c>
      <c r="D10" s="37">
        <v>3015</v>
      </c>
      <c r="E10" s="37">
        <v>2405</v>
      </c>
      <c r="F10" s="37">
        <v>2470</v>
      </c>
      <c r="G10" s="37">
        <v>2480</v>
      </c>
      <c r="H10" s="37">
        <v>2480</v>
      </c>
    </row>
    <row r="11" spans="1:8" x14ac:dyDescent="0.25">
      <c r="A11" s="36" t="s">
        <v>36</v>
      </c>
      <c r="B11" s="37">
        <v>133</v>
      </c>
      <c r="C11" s="37">
        <v>133</v>
      </c>
      <c r="D11" s="37">
        <v>134</v>
      </c>
      <c r="E11" s="37">
        <v>134</v>
      </c>
      <c r="F11" s="37">
        <v>135</v>
      </c>
      <c r="G11" s="37">
        <v>135</v>
      </c>
      <c r="H11" s="37">
        <v>136</v>
      </c>
    </row>
    <row r="12" spans="1:8" x14ac:dyDescent="0.25">
      <c r="A12" s="36" t="s">
        <v>79</v>
      </c>
      <c r="B12" s="38">
        <v>0</v>
      </c>
      <c r="C12" s="38">
        <v>0.57999999999999996</v>
      </c>
      <c r="D12" s="38">
        <v>0.6</v>
      </c>
      <c r="E12" s="38">
        <v>0.62</v>
      </c>
      <c r="F12" s="38">
        <v>0.64</v>
      </c>
      <c r="G12" s="38">
        <v>0.66</v>
      </c>
      <c r="H12" s="38">
        <v>0.68</v>
      </c>
    </row>
    <row r="13" spans="1:8" x14ac:dyDescent="0.25">
      <c r="A13" s="36" t="s">
        <v>59</v>
      </c>
      <c r="B13" s="37">
        <v>0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</row>
    <row r="14" spans="1:8" x14ac:dyDescent="0.25">
      <c r="A14" s="36" t="s">
        <v>124</v>
      </c>
      <c r="B14" s="37">
        <v>3280.1131</v>
      </c>
      <c r="C14" s="37">
        <v>4477.3620000000001</v>
      </c>
      <c r="D14" s="37">
        <v>7557.7330000000002</v>
      </c>
      <c r="E14" s="37">
        <v>8728.4600000000009</v>
      </c>
      <c r="F14" s="37">
        <v>10286.496999999999</v>
      </c>
      <c r="G14" s="37">
        <v>11616.744000000001</v>
      </c>
      <c r="H14" s="37">
        <v>12670.210999999999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Metas Sede Bogota</vt:lpstr>
      <vt:lpstr>Hoja Pivote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FERNANDO VILLAREAL DIAZ</dc:creator>
  <cp:keywords/>
  <dc:description/>
  <cp:lastModifiedBy>KEVIN DANIEL ARANGO ALGARRA</cp:lastModifiedBy>
  <cp:revision/>
  <dcterms:created xsi:type="dcterms:W3CDTF">2026-09-09T15:18:12Z</dcterms:created>
  <dcterms:modified xsi:type="dcterms:W3CDTF">2026-09-09T17:53:35Z</dcterms:modified>
  <cp:category/>
  <cp:contentStatus/>
</cp:coreProperties>
</file>